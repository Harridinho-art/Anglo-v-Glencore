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761b5c654e8a460/Documents/Annual reports/"/>
    </mc:Choice>
  </mc:AlternateContent>
  <xr:revisionPtr revIDLastSave="272" documentId="11_02049642C938A37C06C71F2F5AF0C0D883DB3EFA" xr6:coauthVersionLast="47" xr6:coauthVersionMax="47" xr10:uidLastSave="{C5DDD2AF-5593-41FA-85CB-79DBD6DFB338}"/>
  <bookViews>
    <workbookView xWindow="-108" yWindow="-108" windowWidth="23256" windowHeight="12456" activeTab="2" xr2:uid="{00000000-000D-0000-FFFF-FFFF00000000}"/>
  </bookViews>
  <sheets>
    <sheet name="Market analysis" sheetId="4" r:id="rId1"/>
    <sheet name="Q1 13-Week" sheetId="2" r:id="rId2"/>
    <sheet name="Q2 13-Week" sheetId="3" r:id="rId3"/>
    <sheet name="Margin shock stress test"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5" l="1"/>
  <c r="E7" i="5"/>
  <c r="E17" i="5"/>
  <c r="E14" i="5"/>
  <c r="E3" i="5"/>
  <c r="D17" i="5"/>
  <c r="C17" i="5"/>
  <c r="B17" i="5"/>
  <c r="B18" i="5" s="1"/>
  <c r="D6" i="5"/>
  <c r="C6" i="5"/>
  <c r="B6" i="5"/>
  <c r="B7" i="5" s="1"/>
  <c r="C19" i="2"/>
  <c r="D19" i="2"/>
  <c r="E19" i="2"/>
  <c r="F19" i="2"/>
  <c r="G19" i="2"/>
  <c r="H19" i="2"/>
  <c r="I19" i="2"/>
  <c r="J19" i="2"/>
  <c r="K19" i="2"/>
  <c r="L19" i="2"/>
  <c r="M19" i="2"/>
  <c r="N19" i="2"/>
  <c r="B19" i="2"/>
  <c r="C9" i="2"/>
  <c r="D9" i="2"/>
  <c r="E9" i="2"/>
  <c r="F9" i="2"/>
  <c r="G9" i="2"/>
  <c r="H9" i="2"/>
  <c r="I9" i="2"/>
  <c r="J9" i="2"/>
  <c r="K9" i="2"/>
  <c r="L9" i="2"/>
  <c r="M9" i="2"/>
  <c r="N9" i="2"/>
  <c r="B9" i="2"/>
  <c r="C19" i="3"/>
  <c r="D19" i="3"/>
  <c r="E19" i="3"/>
  <c r="F19" i="3"/>
  <c r="G19" i="3"/>
  <c r="H19" i="3"/>
  <c r="I19" i="3"/>
  <c r="J19" i="3"/>
  <c r="K19" i="3"/>
  <c r="L19" i="3"/>
  <c r="M19" i="3"/>
  <c r="N19" i="3"/>
  <c r="B19" i="3"/>
  <c r="C9" i="3"/>
  <c r="D9" i="3"/>
  <c r="E9" i="3"/>
  <c r="F9" i="3"/>
  <c r="G9" i="3"/>
  <c r="H9" i="3"/>
  <c r="I9" i="3"/>
  <c r="J9" i="3"/>
  <c r="K9" i="3"/>
  <c r="L9" i="3"/>
  <c r="M9" i="3"/>
  <c r="N9" i="3"/>
  <c r="B9" i="3"/>
  <c r="N15" i="3"/>
  <c r="M15" i="3"/>
  <c r="L15" i="3"/>
  <c r="K15" i="3"/>
  <c r="J15" i="3"/>
  <c r="I15" i="3"/>
  <c r="H15" i="3"/>
  <c r="G15" i="3"/>
  <c r="F15" i="3"/>
  <c r="E15" i="3"/>
  <c r="D15" i="3"/>
  <c r="C15" i="3"/>
  <c r="B15" i="3"/>
  <c r="N5" i="3"/>
  <c r="M5" i="3"/>
  <c r="L5" i="3"/>
  <c r="K5" i="3"/>
  <c r="J5" i="3"/>
  <c r="I5" i="3"/>
  <c r="H5" i="3"/>
  <c r="G5" i="3"/>
  <c r="F5" i="3"/>
  <c r="E5" i="3"/>
  <c r="D5" i="3"/>
  <c r="C5" i="3"/>
  <c r="B5" i="3"/>
  <c r="N15" i="2"/>
  <c r="M15" i="2"/>
  <c r="L15" i="2"/>
  <c r="K15" i="2"/>
  <c r="J15" i="2"/>
  <c r="I15" i="2"/>
  <c r="H15" i="2"/>
  <c r="G15" i="2"/>
  <c r="F15" i="2"/>
  <c r="E15" i="2"/>
  <c r="D15" i="2"/>
  <c r="C15" i="2"/>
  <c r="B15" i="2"/>
  <c r="B16" i="2" s="1"/>
  <c r="C12" i="2" s="1"/>
  <c r="N5" i="2"/>
  <c r="M5" i="2"/>
  <c r="L5" i="2"/>
  <c r="K5" i="2"/>
  <c r="J5" i="2"/>
  <c r="I5" i="2"/>
  <c r="H5" i="2"/>
  <c r="G5" i="2"/>
  <c r="F5" i="2"/>
  <c r="E5" i="2"/>
  <c r="D5" i="2"/>
  <c r="C5" i="2"/>
  <c r="B5" i="2"/>
  <c r="B6" i="2" s="1"/>
  <c r="C2" i="2" s="1"/>
  <c r="G17" i="5" l="1"/>
  <c r="F17" i="5"/>
  <c r="F6" i="5"/>
  <c r="B10" i="5"/>
  <c r="C2" i="5"/>
  <c r="C7" i="5" s="1"/>
  <c r="C13" i="5"/>
  <c r="C18" i="5" s="1"/>
  <c r="B21" i="5"/>
  <c r="C6" i="2"/>
  <c r="D2" i="2" s="1"/>
  <c r="D6" i="2" s="1"/>
  <c r="E2" i="2" s="1"/>
  <c r="E6" i="2" s="1"/>
  <c r="F2" i="2" s="1"/>
  <c r="F6" i="2" s="1"/>
  <c r="G2" i="2" s="1"/>
  <c r="G6" i="2" s="1"/>
  <c r="H2" i="2" s="1"/>
  <c r="H6" i="2" s="1"/>
  <c r="I2" i="2" s="1"/>
  <c r="I6" i="2" s="1"/>
  <c r="J2" i="2" s="1"/>
  <c r="J6" i="2" s="1"/>
  <c r="K2" i="2" s="1"/>
  <c r="K6" i="2" s="1"/>
  <c r="L2" i="2" s="1"/>
  <c r="L6" i="2" s="1"/>
  <c r="M2" i="2" s="1"/>
  <c r="M6" i="2" s="1"/>
  <c r="N2" i="2" s="1"/>
  <c r="N6" i="2" s="1"/>
  <c r="B2" i="3" s="1"/>
  <c r="B6" i="3" s="1"/>
  <c r="C2" i="3" s="1"/>
  <c r="C6" i="3" s="1"/>
  <c r="D2" i="3" s="1"/>
  <c r="D6" i="3" s="1"/>
  <c r="E2" i="3" s="1"/>
  <c r="E6" i="3" s="1"/>
  <c r="F2" i="3" s="1"/>
  <c r="F6" i="3" s="1"/>
  <c r="G2" i="3" s="1"/>
  <c r="G6" i="3" s="1"/>
  <c r="H2" i="3" s="1"/>
  <c r="H6" i="3" s="1"/>
  <c r="I2" i="3" s="1"/>
  <c r="I6" i="3" s="1"/>
  <c r="J2" i="3" s="1"/>
  <c r="J6" i="3" s="1"/>
  <c r="K2" i="3" s="1"/>
  <c r="K6" i="3" s="1"/>
  <c r="L2" i="3" s="1"/>
  <c r="L6" i="3" s="1"/>
  <c r="M2" i="3" s="1"/>
  <c r="M6" i="3" s="1"/>
  <c r="N2" i="3" s="1"/>
  <c r="N6" i="3" s="1"/>
  <c r="C16" i="2"/>
  <c r="D12" i="2" s="1"/>
  <c r="D16" i="2" s="1"/>
  <c r="E12" i="2" s="1"/>
  <c r="E16" i="2" s="1"/>
  <c r="F12" i="2" s="1"/>
  <c r="F16" i="2" s="1"/>
  <c r="G12" i="2" s="1"/>
  <c r="G16" i="2" s="1"/>
  <c r="H12" i="2" s="1"/>
  <c r="H16" i="2" s="1"/>
  <c r="I12" i="2" s="1"/>
  <c r="I16" i="2" s="1"/>
  <c r="J12" i="2" s="1"/>
  <c r="J16" i="2" s="1"/>
  <c r="K12" i="2" s="1"/>
  <c r="K16" i="2" s="1"/>
  <c r="L12" i="2" s="1"/>
  <c r="L16" i="2" s="1"/>
  <c r="M12" i="2" s="1"/>
  <c r="M16" i="2" s="1"/>
  <c r="N12" i="2" s="1"/>
  <c r="N16" i="2" s="1"/>
  <c r="B12" i="3" s="1"/>
  <c r="B16" i="3" s="1"/>
  <c r="C12" i="3" s="1"/>
  <c r="C16" i="3" s="1"/>
  <c r="D12" i="3" s="1"/>
  <c r="D16" i="3" s="1"/>
  <c r="E12" i="3" s="1"/>
  <c r="E16" i="3" s="1"/>
  <c r="F12" i="3" s="1"/>
  <c r="F16" i="3" s="1"/>
  <c r="G12" i="3" s="1"/>
  <c r="G16" i="3" s="1"/>
  <c r="H12" i="3" s="1"/>
  <c r="H16" i="3" s="1"/>
  <c r="I12" i="3" s="1"/>
  <c r="I16" i="3" s="1"/>
  <c r="J12" i="3" s="1"/>
  <c r="J16" i="3" s="1"/>
  <c r="K12" i="3" s="1"/>
  <c r="K16" i="3" s="1"/>
  <c r="L12" i="3" s="1"/>
  <c r="L16" i="3" s="1"/>
  <c r="M12" i="3" s="1"/>
  <c r="M16" i="3" s="1"/>
  <c r="N12" i="3" s="1"/>
  <c r="N16" i="3" s="1"/>
  <c r="H17" i="5" l="1"/>
  <c r="G6" i="5"/>
  <c r="D13" i="5"/>
  <c r="D18" i="5" s="1"/>
  <c r="C21" i="5"/>
  <c r="D2" i="5"/>
  <c r="D7" i="5" s="1"/>
  <c r="C10" i="5"/>
  <c r="I17" i="5" l="1"/>
  <c r="H6" i="5"/>
  <c r="E2" i="5"/>
  <c r="D10" i="5"/>
  <c r="E13" i="5"/>
  <c r="E18" i="5" s="1"/>
  <c r="D21" i="5"/>
  <c r="J17" i="5" l="1"/>
  <c r="I6" i="5"/>
  <c r="F2" i="5"/>
  <c r="F7" i="5" s="1"/>
  <c r="E10" i="5"/>
  <c r="E21" i="5"/>
  <c r="F13" i="5"/>
  <c r="F18" i="5" s="1"/>
  <c r="K17" i="5" l="1"/>
  <c r="J6" i="5"/>
  <c r="G2" i="5"/>
  <c r="G7" i="5" s="1"/>
  <c r="F10" i="5"/>
  <c r="F21" i="5"/>
  <c r="G13" i="5"/>
  <c r="G18" i="5" s="1"/>
  <c r="L17" i="5" l="1"/>
  <c r="K6" i="5"/>
  <c r="H2" i="5"/>
  <c r="H7" i="5" s="1"/>
  <c r="G10" i="5"/>
  <c r="G21" i="5"/>
  <c r="H13" i="5"/>
  <c r="H18" i="5" s="1"/>
  <c r="M17" i="5" l="1"/>
  <c r="N17" i="5"/>
  <c r="L6" i="5"/>
  <c r="H10" i="5"/>
  <c r="I2" i="5"/>
  <c r="I7" i="5" s="1"/>
  <c r="I13" i="5"/>
  <c r="I18" i="5" s="1"/>
  <c r="H21" i="5"/>
  <c r="N6" i="5" l="1"/>
  <c r="M6" i="5"/>
  <c r="J13" i="5"/>
  <c r="J18" i="5" s="1"/>
  <c r="I21" i="5"/>
  <c r="I10" i="5"/>
  <c r="J2" i="5"/>
  <c r="J7" i="5" s="1"/>
  <c r="K13" i="5" l="1"/>
  <c r="K18" i="5" s="1"/>
  <c r="J21" i="5"/>
  <c r="J10" i="5"/>
  <c r="K2" i="5"/>
  <c r="K7" i="5" s="1"/>
  <c r="K10" i="5" l="1"/>
  <c r="L2" i="5"/>
  <c r="L7" i="5" s="1"/>
  <c r="L13" i="5"/>
  <c r="L18" i="5" s="1"/>
  <c r="K21" i="5"/>
  <c r="M13" i="5" l="1"/>
  <c r="M18" i="5" s="1"/>
  <c r="L21" i="5"/>
  <c r="M2" i="5"/>
  <c r="M7" i="5" s="1"/>
  <c r="L10" i="5"/>
  <c r="N2" i="5" l="1"/>
  <c r="N7" i="5" s="1"/>
  <c r="N10" i="5" s="1"/>
  <c r="M10" i="5"/>
  <c r="M21" i="5"/>
  <c r="N13" i="5"/>
  <c r="N18" i="5" s="1"/>
  <c r="N21" i="5" s="1"/>
</calcChain>
</file>

<file path=xl/sharedStrings.xml><?xml version="1.0" encoding="utf-8"?>
<sst xmlns="http://schemas.openxmlformats.org/spreadsheetml/2006/main" count="169" uniqueCount="77">
  <si>
    <t>Anglo American Cash Flow</t>
  </si>
  <si>
    <t>Week 1</t>
  </si>
  <si>
    <t>Week 2</t>
  </si>
  <si>
    <t>Week 3</t>
  </si>
  <si>
    <t>Week 4</t>
  </si>
  <si>
    <t>Week 5</t>
  </si>
  <si>
    <t>Week 6</t>
  </si>
  <si>
    <t>Week 7</t>
  </si>
  <si>
    <t>Week 8</t>
  </si>
  <si>
    <t>Week 9</t>
  </si>
  <si>
    <t>Week 10</t>
  </si>
  <si>
    <t>Week 11</t>
  </si>
  <si>
    <t>Week 12</t>
  </si>
  <si>
    <t>Week 13</t>
  </si>
  <si>
    <t>Opening Cash Balance</t>
  </si>
  <si>
    <t>Cash inflows (Operations)</t>
  </si>
  <si>
    <t>Cash Outflows (Costs &amp; CapEx)</t>
  </si>
  <si>
    <t>Net Cash Flow</t>
  </si>
  <si>
    <t>Closing Cash Balance</t>
  </si>
  <si>
    <t>Glencore Cash Flow</t>
  </si>
  <si>
    <t>Cash inflows (Operations &amp; Trading)</t>
  </si>
  <si>
    <t>Week 14</t>
  </si>
  <si>
    <t>Week 15</t>
  </si>
  <si>
    <t>Week 16</t>
  </si>
  <si>
    <t>Week 17</t>
  </si>
  <si>
    <t>Week 18</t>
  </si>
  <si>
    <t>Week 19</t>
  </si>
  <si>
    <t>Week 20</t>
  </si>
  <si>
    <t>Week 21</t>
  </si>
  <si>
    <t>Week 22</t>
  </si>
  <si>
    <t>Week 23</t>
  </si>
  <si>
    <t>Week 24</t>
  </si>
  <si>
    <t>Week 25</t>
  </si>
  <si>
    <t>Week 26</t>
  </si>
  <si>
    <t>2025 Market Volatility &amp; Average Pricing</t>
  </si>
  <si>
    <t>Resource</t>
  </si>
  <si>
    <t>2025 Market Average</t>
  </si>
  <si>
    <t>2025 Lows (Bear/Trough)</t>
  </si>
  <si>
    <t>2025 Highs (Bull/Peak)</t>
  </si>
  <si>
    <t>Year-End Spot Price (Dec 31)</t>
  </si>
  <si>
    <t>Copper (LME Cash)</t>
  </si>
  <si>
    <r>
      <t>$9,954/t</t>
    </r>
    <r>
      <rPr>
        <sz val="11"/>
        <color theme="1"/>
        <rFont val="Arial"/>
        <family val="2"/>
      </rPr>
      <t xml:space="preserve"> (or 451 c/lb)</t>
    </r>
  </si>
  <si>
    <r>
      <t>~$8,500/t</t>
    </r>
    <r>
      <rPr>
        <sz val="11"/>
        <color theme="1"/>
        <rFont val="Arial"/>
        <family val="2"/>
      </rPr>
      <t xml:space="preserve"> (Hit during April tariff volatility)</t>
    </r>
  </si>
  <si>
    <r>
      <t>~$12,800/t</t>
    </r>
    <r>
      <rPr>
        <sz val="11"/>
        <color theme="1"/>
        <rFont val="Arial"/>
        <family val="2"/>
      </rPr>
      <t xml:space="preserve"> (Intraday peak of 581 c/lb in Dec)</t>
    </r>
  </si>
  <si>
    <r>
      <t>$12,453/t</t>
    </r>
    <r>
      <rPr>
        <sz val="11"/>
        <color theme="1"/>
        <rFont val="Arial"/>
        <family val="2"/>
      </rPr>
      <t xml:space="preserve"> (or 567 c/lb)</t>
    </r>
  </si>
  <si>
    <t>Iron Ore (62% Fe CFR)</t>
  </si>
  <si>
    <r>
      <t>$97/t - $102/t</t>
    </r>
    <r>
      <rPr>
        <sz val="11"/>
        <color theme="1"/>
        <rFont val="Arial"/>
        <family val="2"/>
      </rPr>
      <t xml:space="preserve"> (Depending on benchmark)</t>
    </r>
  </si>
  <si>
    <r>
      <t>$92/t</t>
    </r>
    <r>
      <rPr>
        <sz val="11"/>
        <color theme="1"/>
        <rFont val="Arial"/>
        <family val="2"/>
      </rPr>
      <t xml:space="preserve"> (Hit due to oversupply sentiment)</t>
    </r>
  </si>
  <si>
    <r>
      <t>$108.5/t</t>
    </r>
    <r>
      <rPr>
        <sz val="11"/>
        <color theme="1"/>
        <rFont val="Arial"/>
        <family val="2"/>
      </rPr>
      <t xml:space="preserve"> (Supported by Chinese steel exports)</t>
    </r>
  </si>
  <si>
    <t>$104/t - $109/t</t>
  </si>
  <si>
    <t>Steelmaking Coal (Premium HCC)</t>
  </si>
  <si>
    <t>$188/t</t>
  </si>
  <si>
    <t>Sustained downward pressure due to Chinese oversupply</t>
  </si>
  <si>
    <t>Peaked in late 2024 / early 2025 before the 22% annual decline</t>
  </si>
  <si>
    <t>$218/t</t>
  </si>
  <si>
    <t>Energy/Thermal Coal (Newcastle)</t>
  </si>
  <si>
    <t>$105/t</t>
  </si>
  <si>
    <t>Faced deep price competition into China</t>
  </si>
  <si>
    <t>Prices generally trended lower throughout the year</t>
  </si>
  <si>
    <t>$108/t</t>
  </si>
  <si>
    <t>Readily Marketable Inventories (RMI)</t>
  </si>
  <si>
    <t>Undrawn Revolving Credit facilities (RCF)</t>
  </si>
  <si>
    <t>Readily Marketable inventories (RMI)</t>
  </si>
  <si>
    <t>Total Available liquidity</t>
  </si>
  <si>
    <t xml:space="preserve">Total Available Liquidity </t>
  </si>
  <si>
    <t>Undrawn RCF</t>
  </si>
  <si>
    <t>Total Available Liquidity</t>
  </si>
  <si>
    <t>Derivative Margin calls</t>
  </si>
  <si>
    <t>Strategic Commentary: 30% Copper Price Shock &amp; Liquidity Realignment</t>
  </si>
  <si>
    <r>
      <t>Macro Trigger:</t>
    </r>
    <r>
      <rPr>
        <sz val="11"/>
        <color theme="1"/>
        <rFont val="Calibri"/>
        <family val="2"/>
        <scheme val="minor"/>
      </rPr>
      <t xml:space="preserve"> This scenario simulates a sudden 30% overnight surge in global copper benchmarks, matching the intense tariff volatility and physical trade dislocations observed during peak market movements. The shock exposes the fundamental structural differences in liquidity management between a pure-play miner and an integrated producer-trader.</t>
    </r>
  </si>
  <si>
    <r>
      <t>Anglo American (Asset Quality Play):</t>
    </r>
    <r>
      <rPr>
        <sz val="11"/>
        <color theme="1"/>
        <rFont val="Calibri"/>
        <family val="2"/>
        <scheme val="minor"/>
      </rPr>
      <t xml:space="preserve"> As an unhedged upstream producer, Anglo captures the price expansion directly. Weekly operational inflows immediately step up by 30% (from </t>
    </r>
    <r>
      <rPr>
        <b/>
        <sz val="11"/>
        <color theme="1"/>
        <rFont val="Calibri"/>
        <family val="2"/>
        <scheme val="minor"/>
      </rPr>
      <t>$260.3M</t>
    </r>
    <r>
      <rPr>
        <sz val="11"/>
        <color theme="1"/>
        <rFont val="Calibri"/>
        <family val="2"/>
        <scheme val="minor"/>
      </rPr>
      <t xml:space="preserve"> to </t>
    </r>
    <r>
      <rPr>
        <b/>
        <sz val="11"/>
        <color theme="1"/>
        <rFont val="Calibri"/>
        <family val="2"/>
        <scheme val="minor"/>
      </rPr>
      <t>$338.4M</t>
    </r>
    <r>
      <rPr>
        <sz val="11"/>
        <color theme="1"/>
        <rFont val="Calibri"/>
        <family val="2"/>
        <scheme val="minor"/>
      </rPr>
      <t>), accelerating organic cash accretion. With zero derivative exposure, their cash balance grows unimpeded, requiring no reliance on baseline credit buffers.</t>
    </r>
  </si>
  <si>
    <r>
      <t>Glencore (The Trader's Trap):</t>
    </r>
    <r>
      <rPr>
        <sz val="11"/>
        <color theme="1"/>
        <rFont val="Calibri"/>
        <family val="2"/>
        <scheme val="minor"/>
      </rPr>
      <t xml:space="preserve"> Glencore similarly captures a physical inflow increase (stepping up to </t>
    </r>
    <r>
      <rPr>
        <b/>
        <sz val="11"/>
        <color theme="1"/>
        <rFont val="Calibri"/>
        <family val="2"/>
        <scheme val="minor"/>
      </rPr>
      <t>$574.3M</t>
    </r>
    <r>
      <rPr>
        <sz val="11"/>
        <color theme="1"/>
        <rFont val="Calibri"/>
        <family val="2"/>
        <scheme val="minor"/>
      </rPr>
      <t xml:space="preserve">). However, because they actively run short derivative contracts to hedge billions in physical inventory, the price spike triggers immediate </t>
    </r>
    <r>
      <rPr>
        <b/>
        <sz val="11"/>
        <color theme="1"/>
        <rFont val="Calibri"/>
        <family val="2"/>
        <scheme val="minor"/>
      </rPr>
      <t>variation margin calls</t>
    </r>
    <r>
      <rPr>
        <sz val="11"/>
        <color theme="1"/>
        <rFont val="Calibri"/>
        <family val="2"/>
        <scheme val="minor"/>
      </rPr>
      <t xml:space="preserve"> from clearinghouses.</t>
    </r>
  </si>
  <si>
    <r>
      <t>The Liquidity Deficit:</t>
    </r>
    <r>
      <rPr>
        <sz val="11"/>
        <color theme="1"/>
        <rFont val="Calibri"/>
        <family val="2"/>
        <scheme val="minor"/>
      </rPr>
      <t xml:space="preserve"> The resulting </t>
    </r>
    <r>
      <rPr>
        <b/>
        <sz val="11"/>
        <color theme="1"/>
        <rFont val="Calibri"/>
        <family val="2"/>
        <scheme val="minor"/>
      </rPr>
      <t>$3.0 billion</t>
    </r>
    <r>
      <rPr>
        <sz val="11"/>
        <color theme="1"/>
        <rFont val="Calibri"/>
        <family val="2"/>
        <scheme val="minor"/>
      </rPr>
      <t xml:space="preserve"> cash drain in Week 4 severely depletes Glencore's hard cash balance. However, the model proves their structural resilience: their </t>
    </r>
    <r>
      <rPr>
        <b/>
        <sz val="11"/>
        <color theme="1"/>
        <rFont val="Calibri"/>
        <family val="2"/>
        <scheme val="minor"/>
      </rPr>
      <t>$12.9 billion Undrawn RCF</t>
    </r>
    <r>
      <rPr>
        <sz val="11"/>
        <color theme="1"/>
        <rFont val="Calibri"/>
        <family val="2"/>
        <scheme val="minor"/>
      </rPr>
      <t xml:space="preserve"> and </t>
    </r>
    <r>
      <rPr>
        <b/>
        <sz val="11"/>
        <color theme="1"/>
        <rFont val="Calibri"/>
        <family val="2"/>
        <scheme val="minor"/>
      </rPr>
      <t>$28.2 billion in Readily Marketable Inventories (RMI)</t>
    </r>
    <r>
      <rPr>
        <sz val="11"/>
        <color theme="1"/>
        <rFont val="Calibri"/>
        <family val="2"/>
        <scheme val="minor"/>
      </rPr>
      <t xml:space="preserve"> act as an unbreakable liquidity backstop, keeping their total headroom completely secure.</t>
    </r>
  </si>
  <si>
    <t>Systemic Escalation: 50% Syndicated Credit Haircut (The 'Black Swan')</t>
  </si>
  <si>
    <r>
      <t>The Compound Crisis:</t>
    </r>
    <r>
      <rPr>
        <sz val="11"/>
        <color theme="1"/>
        <rFont val="Calibri"/>
        <family val="2"/>
        <scheme val="minor"/>
      </rPr>
      <t xml:space="preserve"> In real-world market dislocations, extreme price volatility often triggers concurrent banking sector anxiety. This scenario layers a systemic credit crunch over the margin shock, restricting both companies' undrawn Revolving Credit Facilities (RCFs) by a severe 50%.</t>
    </r>
  </si>
  <si>
    <r>
      <t>The Credit Squeeze:</t>
    </r>
    <r>
      <rPr>
        <sz val="11"/>
        <color theme="1"/>
        <rFont val="Calibri"/>
        <family val="2"/>
        <scheme val="minor"/>
      </rPr>
      <t xml:space="preserve"> Anglo American's structural reliance on bank-provided liquidity becomes apparent as their primary emergency backstop is halved to </t>
    </r>
    <r>
      <rPr>
        <b/>
        <sz val="11"/>
        <color theme="1"/>
        <rFont val="Calibri"/>
        <family val="2"/>
        <scheme val="minor"/>
      </rPr>
      <t>$3.0 billion</t>
    </r>
    <r>
      <rPr>
        <sz val="11"/>
        <color theme="1"/>
        <rFont val="Calibri"/>
        <family val="2"/>
        <scheme val="minor"/>
      </rPr>
      <t>.</t>
    </r>
  </si>
  <si>
    <r>
      <t>The RMI Shield:</t>
    </r>
    <r>
      <rPr>
        <sz val="11"/>
        <color theme="1"/>
        <rFont val="Calibri"/>
        <family val="2"/>
        <scheme val="minor"/>
      </rPr>
      <t xml:space="preserve"> While Glencore's available credit line is slashed to </t>
    </r>
    <r>
      <rPr>
        <b/>
        <sz val="11"/>
        <color theme="1"/>
        <rFont val="Calibri"/>
        <family val="2"/>
        <scheme val="minor"/>
      </rPr>
      <t>$6.45 billion</t>
    </r>
    <r>
      <rPr>
        <sz val="11"/>
        <color theme="1"/>
        <rFont val="Calibri"/>
        <family val="2"/>
        <scheme val="minor"/>
      </rPr>
      <t xml:space="preserve">, the model exposes the supreme defensive utility of their physical trading platform. Their </t>
    </r>
    <r>
      <rPr>
        <b/>
        <sz val="11"/>
        <color theme="1"/>
        <rFont val="Calibri"/>
        <family val="2"/>
        <scheme val="minor"/>
      </rPr>
      <t>$28.2 billion</t>
    </r>
    <r>
      <rPr>
        <sz val="11"/>
        <color theme="1"/>
        <rFont val="Calibri"/>
        <family val="2"/>
        <scheme val="minor"/>
      </rPr>
      <t xml:space="preserve"> vault of Readily Marketable Inventories (RMI) remains completely immune to banking restrictions. This physical vault acts as an un-cancellable, near-cash equivalent, ensuring total liquidity headroom remains robust at </t>
    </r>
    <r>
      <rPr>
        <b/>
        <sz val="11"/>
        <color theme="1"/>
        <rFont val="Calibri"/>
        <family val="2"/>
        <scheme val="minor"/>
      </rPr>
      <t>$38.4 billion</t>
    </r>
    <r>
      <rPr>
        <sz val="11"/>
        <color theme="1"/>
        <rFont val="Calibri"/>
        <family val="2"/>
        <scheme val="minor"/>
      </rPr>
      <t xml:space="preserve"> even during a simultaneous margin squeeze and credit freeze.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</si>
</sst>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1">
    <font>
      <sz val="11"/>
      <color theme="1"/>
      <name val="Calibri"/>
      <family val="2"/>
      <scheme val="minor"/>
    </font>
    <font>
      <b/>
      <sz val="12"/>
      <color rgb="FFFFFFFF"/>
      <name val="Segoe UI"/>
    </font>
    <font>
      <b/>
      <sz val="10"/>
      <name val="Segoe UI"/>
    </font>
    <font>
      <b/>
      <sz val="11"/>
      <color theme="1"/>
      <name val="Calibri"/>
      <family val="2"/>
      <scheme val="minor"/>
    </font>
    <font>
      <b/>
      <sz val="13.5"/>
      <color theme="1"/>
      <name val="Arial"/>
      <family val="2"/>
    </font>
    <font>
      <sz val="11"/>
      <color theme="1"/>
      <name val="Arial"/>
      <family val="2"/>
    </font>
    <font>
      <b/>
      <sz val="11"/>
      <color theme="1"/>
      <name val="Arial"/>
      <family val="2"/>
    </font>
    <font>
      <i/>
      <sz val="11"/>
      <color theme="1"/>
      <name val="Arial"/>
      <family val="2"/>
    </font>
    <font>
      <b/>
      <sz val="13.5"/>
      <color theme="1"/>
      <name val="Calibri"/>
      <family val="2"/>
      <scheme val="minor"/>
    </font>
    <font>
      <sz val="11"/>
      <color rgb="FFFF0000"/>
      <name val="Calibri"/>
      <family val="2"/>
      <scheme val="minor"/>
    </font>
    <font>
      <b/>
      <sz val="10"/>
      <name val="Segoe UI"/>
      <family val="2"/>
    </font>
  </fonts>
  <fills count="6">
    <fill>
      <patternFill patternType="none"/>
    </fill>
    <fill>
      <patternFill patternType="gray125"/>
    </fill>
    <fill>
      <patternFill patternType="solid">
        <fgColor rgb="FF1B365D"/>
        <bgColor rgb="FF1B365D"/>
      </patternFill>
    </fill>
    <fill>
      <patternFill patternType="solid">
        <fgColor rgb="FF2C3E50"/>
        <bgColor rgb="FF2C3E50"/>
      </patternFill>
    </fill>
    <fill>
      <patternFill patternType="solid">
        <fgColor rgb="FFF2F4F7"/>
        <bgColor rgb="FFF2F4F7"/>
      </patternFill>
    </fill>
    <fill>
      <patternFill patternType="solid">
        <fgColor theme="2" tint="-0.249977111117893"/>
        <bgColor indexed="64"/>
      </patternFill>
    </fill>
  </fills>
  <borders count="7">
    <border>
      <left/>
      <right/>
      <top/>
      <bottom/>
      <diagonal/>
    </border>
    <border>
      <left style="thin">
        <color rgb="FFD1D5DB"/>
      </left>
      <right style="thin">
        <color rgb="FFD1D5DB"/>
      </right>
      <top style="thin">
        <color rgb="FFD1D5DB"/>
      </top>
      <bottom style="thin">
        <color rgb="FFD1D5DB"/>
      </bottom>
      <diagonal/>
    </border>
    <border>
      <left style="medium">
        <color rgb="FFC4C7C5"/>
      </left>
      <right style="medium">
        <color rgb="FFC4C7C5"/>
      </right>
      <top style="medium">
        <color rgb="FFC4C7C5"/>
      </top>
      <bottom style="medium">
        <color rgb="FFC4C7C5"/>
      </bottom>
      <diagonal/>
    </border>
    <border>
      <left style="thin">
        <color rgb="FFD1D5DB"/>
      </left>
      <right style="thin">
        <color rgb="FFD1D5DB"/>
      </right>
      <top/>
      <bottom style="thin">
        <color rgb="FFD1D5DB"/>
      </bottom>
      <diagonal/>
    </border>
    <border>
      <left style="thin">
        <color rgb="FFD1D5DB"/>
      </left>
      <right style="thin">
        <color rgb="FFD1D5DB"/>
      </right>
      <top style="thin">
        <color indexed="64"/>
      </top>
      <bottom style="thin">
        <color indexed="64"/>
      </bottom>
      <diagonal/>
    </border>
    <border>
      <left style="thin">
        <color rgb="FFD1D5DB"/>
      </left>
      <right style="thin">
        <color rgb="FFD1D5DB"/>
      </right>
      <top style="thin">
        <color rgb="FFD1D5DB"/>
      </top>
      <bottom/>
      <diagonal/>
    </border>
    <border>
      <left/>
      <right/>
      <top style="thin">
        <color indexed="64"/>
      </top>
      <bottom/>
      <diagonal/>
    </border>
  </borders>
  <cellStyleXfs count="1">
    <xf numFmtId="0" fontId="0" fillId="0" borderId="0"/>
  </cellStyleXfs>
  <cellXfs count="28">
    <xf numFmtId="0" fontId="0" fillId="0" borderId="0" xfId="0"/>
    <xf numFmtId="0" fontId="1" fillId="2" borderId="0" xfId="0" applyFont="1" applyFill="1" applyAlignment="1">
      <alignment horizontal="center"/>
    </xf>
    <xf numFmtId="0" fontId="2" fillId="4" borderId="1" xfId="0" applyFont="1" applyFill="1" applyBorder="1"/>
    <xf numFmtId="164" fontId="0" fillId="0" borderId="1" xfId="0" applyNumberFormat="1" applyBorder="1"/>
    <xf numFmtId="0" fontId="2" fillId="4" borderId="1" xfId="0" applyFont="1" applyFill="1" applyBorder="1" applyAlignment="1">
      <alignment horizontal="center"/>
    </xf>
    <xf numFmtId="164" fontId="1" fillId="3" borderId="1" xfId="0" applyNumberFormat="1" applyFont="1" applyFill="1" applyBorder="1" applyAlignment="1">
      <alignment horizontal="center"/>
    </xf>
    <xf numFmtId="0" fontId="4" fillId="0" borderId="0" xfId="0" applyFont="1" applyAlignment="1">
      <alignment vertical="center"/>
    </xf>
    <xf numFmtId="0" fontId="6" fillId="0" borderId="2" xfId="0" applyFont="1" applyBorder="1" applyAlignment="1">
      <alignment horizontal="left" vertical="center" wrapText="1" indent="1"/>
    </xf>
    <xf numFmtId="0" fontId="7" fillId="0" borderId="2" xfId="0" applyFont="1" applyBorder="1" applyAlignment="1">
      <alignment horizontal="left" vertical="center" wrapText="1" indent="1"/>
    </xf>
    <xf numFmtId="0" fontId="6" fillId="5" borderId="2" xfId="0" applyFont="1" applyFill="1" applyBorder="1" applyAlignment="1">
      <alignment horizontal="left" vertical="center" wrapText="1" indent="1"/>
    </xf>
    <xf numFmtId="0" fontId="3" fillId="0" borderId="0" xfId="0" applyFont="1"/>
    <xf numFmtId="0" fontId="2" fillId="4" borderId="0" xfId="0" applyFont="1" applyFill="1"/>
    <xf numFmtId="164" fontId="0" fillId="0" borderId="0" xfId="0" applyNumberFormat="1"/>
    <xf numFmtId="0" fontId="8"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0" fontId="3" fillId="0" borderId="0" xfId="0" applyFont="1" applyAlignment="1">
      <alignment horizontal="left" vertical="center" indent="2"/>
    </xf>
    <xf numFmtId="0" fontId="2" fillId="4" borderId="3" xfId="0" applyFont="1" applyFill="1" applyBorder="1"/>
    <xf numFmtId="164" fontId="0" fillId="0" borderId="3" xfId="0" applyNumberFormat="1" applyBorder="1"/>
    <xf numFmtId="0" fontId="2" fillId="4" borderId="5" xfId="0" applyFont="1" applyFill="1" applyBorder="1"/>
    <xf numFmtId="164" fontId="0" fillId="0" borderId="5" xfId="0" applyNumberFormat="1" applyBorder="1"/>
    <xf numFmtId="0" fontId="2" fillId="4" borderId="4" xfId="0" applyFont="1" applyFill="1" applyBorder="1"/>
    <xf numFmtId="164" fontId="3" fillId="0" borderId="4" xfId="0" applyNumberFormat="1" applyFont="1" applyBorder="1"/>
    <xf numFmtId="0" fontId="10" fillId="4" borderId="4" xfId="0" applyFont="1" applyFill="1" applyBorder="1"/>
    <xf numFmtId="0" fontId="2" fillId="4" borderId="6" xfId="0" applyFont="1" applyFill="1" applyBorder="1"/>
    <xf numFmtId="164" fontId="3" fillId="0" borderId="6" xfId="0" applyNumberFormat="1" applyFont="1" applyBorder="1"/>
    <xf numFmtId="164" fontId="9" fillId="0" borderId="5"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50659-CDF5-4907-92A1-45D920507AFD}">
  <dimension ref="A1:F6"/>
  <sheetViews>
    <sheetView workbookViewId="0">
      <selection activeCell="B9" sqref="B9"/>
    </sheetView>
  </sheetViews>
  <sheetFormatPr defaultRowHeight="14.4"/>
  <cols>
    <col min="1" max="1" width="51.5546875" bestFit="1" customWidth="1"/>
    <col min="2" max="2" width="13.21875" customWidth="1"/>
    <col min="3" max="3" width="15.88671875" customWidth="1"/>
    <col min="4" max="4" width="17.5546875" customWidth="1"/>
    <col min="5" max="5" width="16.33203125" customWidth="1"/>
    <col min="6" max="6" width="18.5546875" customWidth="1"/>
  </cols>
  <sheetData>
    <row r="1" spans="1:6" ht="18" thickBot="1">
      <c r="A1" s="6" t="s">
        <v>34</v>
      </c>
    </row>
    <row r="2" spans="1:6" ht="42" thickBot="1">
      <c r="A2" s="9" t="s">
        <v>35</v>
      </c>
      <c r="B2" s="9" t="s">
        <v>36</v>
      </c>
      <c r="C2" s="9" t="s">
        <v>37</v>
      </c>
      <c r="D2" s="9" t="s">
        <v>38</v>
      </c>
      <c r="E2" s="9" t="s">
        <v>39</v>
      </c>
      <c r="F2" s="10"/>
    </row>
    <row r="3" spans="1:6" ht="42" thickBot="1">
      <c r="A3" s="9" t="s">
        <v>40</v>
      </c>
      <c r="B3" s="7" t="s">
        <v>41</v>
      </c>
      <c r="C3" s="7" t="s">
        <v>42</v>
      </c>
      <c r="D3" s="7" t="s">
        <v>43</v>
      </c>
      <c r="E3" s="7" t="s">
        <v>44</v>
      </c>
    </row>
    <row r="4" spans="1:6" ht="69.599999999999994" thickBot="1">
      <c r="A4" s="9" t="s">
        <v>45</v>
      </c>
      <c r="B4" s="7" t="s">
        <v>46</v>
      </c>
      <c r="C4" s="7" t="s">
        <v>47</v>
      </c>
      <c r="D4" s="7" t="s">
        <v>48</v>
      </c>
      <c r="E4" s="7" t="s">
        <v>49</v>
      </c>
    </row>
    <row r="5" spans="1:6" ht="72.599999999999994" thickBot="1">
      <c r="A5" s="9" t="s">
        <v>50</v>
      </c>
      <c r="B5" s="7" t="s">
        <v>51</v>
      </c>
      <c r="C5" s="8" t="s">
        <v>52</v>
      </c>
      <c r="D5" s="8" t="s">
        <v>53</v>
      </c>
      <c r="E5" s="7" t="s">
        <v>54</v>
      </c>
    </row>
    <row r="6" spans="1:6" ht="58.2" thickBot="1">
      <c r="A6" s="9" t="s">
        <v>55</v>
      </c>
      <c r="B6" s="7" t="s">
        <v>56</v>
      </c>
      <c r="C6" s="8" t="s">
        <v>57</v>
      </c>
      <c r="D6" s="8" t="s">
        <v>58</v>
      </c>
      <c r="E6" s="7"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
  <sheetViews>
    <sheetView showGridLines="0" workbookViewId="0">
      <selection activeCell="C20" sqref="C20"/>
    </sheetView>
  </sheetViews>
  <sheetFormatPr defaultRowHeight="14.4"/>
  <cols>
    <col min="1" max="1" width="38.6640625" bestFit="1" customWidth="1"/>
    <col min="2" max="14" width="16" customWidth="1"/>
  </cols>
  <sheetData>
    <row r="1" spans="1:14" ht="19.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
      <c r="A2" s="2" t="s">
        <v>14</v>
      </c>
      <c r="B2" s="3">
        <v>4500000000</v>
      </c>
      <c r="C2" s="3">
        <f t="shared" ref="C2:N2" si="0">B6</f>
        <v>4540338005</v>
      </c>
      <c r="D2" s="3">
        <f t="shared" si="0"/>
        <v>4580676010</v>
      </c>
      <c r="E2" s="3">
        <f t="shared" si="0"/>
        <v>4621014015</v>
      </c>
      <c r="F2" s="3">
        <f t="shared" si="0"/>
        <v>4661352020</v>
      </c>
      <c r="G2" s="3">
        <f t="shared" si="0"/>
        <v>4701690025</v>
      </c>
      <c r="H2" s="3">
        <f t="shared" si="0"/>
        <v>4742028030</v>
      </c>
      <c r="I2" s="3">
        <f t="shared" si="0"/>
        <v>4782366035</v>
      </c>
      <c r="J2" s="3">
        <f t="shared" si="0"/>
        <v>4822704040</v>
      </c>
      <c r="K2" s="3">
        <f t="shared" si="0"/>
        <v>4863042045</v>
      </c>
      <c r="L2" s="3">
        <f t="shared" si="0"/>
        <v>4903380050</v>
      </c>
      <c r="M2" s="3">
        <f t="shared" si="0"/>
        <v>4943718055</v>
      </c>
      <c r="N2" s="3">
        <f t="shared" si="0"/>
        <v>4984056060</v>
      </c>
    </row>
    <row r="3" spans="1:14" ht="15">
      <c r="A3" s="2" t="s">
        <v>15</v>
      </c>
      <c r="B3" s="3">
        <v>260338005</v>
      </c>
      <c r="C3" s="3">
        <v>260338005</v>
      </c>
      <c r="D3" s="3">
        <v>260338005</v>
      </c>
      <c r="E3" s="3">
        <v>260338005</v>
      </c>
      <c r="F3" s="3">
        <v>260338005</v>
      </c>
      <c r="G3" s="3">
        <v>260338005</v>
      </c>
      <c r="H3" s="3">
        <v>260338005</v>
      </c>
      <c r="I3" s="3">
        <v>260338005</v>
      </c>
      <c r="J3" s="3">
        <v>260338005</v>
      </c>
      <c r="K3" s="3">
        <v>260338005</v>
      </c>
      <c r="L3" s="3">
        <v>260338005</v>
      </c>
      <c r="M3" s="3">
        <v>260338005</v>
      </c>
      <c r="N3" s="3">
        <v>260338005</v>
      </c>
    </row>
    <row r="4" spans="1:14" ht="15">
      <c r="A4" s="20" t="s">
        <v>16</v>
      </c>
      <c r="B4" s="21">
        <v>-220000000</v>
      </c>
      <c r="C4" s="21">
        <v>-220000000</v>
      </c>
      <c r="D4" s="21">
        <v>-220000000</v>
      </c>
      <c r="E4" s="21">
        <v>-220000000</v>
      </c>
      <c r="F4" s="21">
        <v>-220000000</v>
      </c>
      <c r="G4" s="21">
        <v>-220000000</v>
      </c>
      <c r="H4" s="21">
        <v>-220000000</v>
      </c>
      <c r="I4" s="21">
        <v>-220000000</v>
      </c>
      <c r="J4" s="21">
        <v>-220000000</v>
      </c>
      <c r="K4" s="21">
        <v>-220000000</v>
      </c>
      <c r="L4" s="21">
        <v>-220000000</v>
      </c>
      <c r="M4" s="21">
        <v>-220000000</v>
      </c>
      <c r="N4" s="21">
        <v>-220000000</v>
      </c>
    </row>
    <row r="5" spans="1:14" ht="15">
      <c r="A5" s="22" t="s">
        <v>17</v>
      </c>
      <c r="B5" s="23">
        <f t="shared" ref="B5:N5" si="1">SUM(B3:B4)</f>
        <v>40338005</v>
      </c>
      <c r="C5" s="23">
        <f t="shared" si="1"/>
        <v>40338005</v>
      </c>
      <c r="D5" s="23">
        <f t="shared" si="1"/>
        <v>40338005</v>
      </c>
      <c r="E5" s="23">
        <f t="shared" si="1"/>
        <v>40338005</v>
      </c>
      <c r="F5" s="23">
        <f t="shared" si="1"/>
        <v>40338005</v>
      </c>
      <c r="G5" s="23">
        <f t="shared" si="1"/>
        <v>40338005</v>
      </c>
      <c r="H5" s="23">
        <f t="shared" si="1"/>
        <v>40338005</v>
      </c>
      <c r="I5" s="23">
        <f t="shared" si="1"/>
        <v>40338005</v>
      </c>
      <c r="J5" s="23">
        <f t="shared" si="1"/>
        <v>40338005</v>
      </c>
      <c r="K5" s="23">
        <f t="shared" si="1"/>
        <v>40338005</v>
      </c>
      <c r="L5" s="23">
        <f t="shared" si="1"/>
        <v>40338005</v>
      </c>
      <c r="M5" s="23">
        <f t="shared" si="1"/>
        <v>40338005</v>
      </c>
      <c r="N5" s="23">
        <f t="shared" si="1"/>
        <v>40338005</v>
      </c>
    </row>
    <row r="6" spans="1:14" ht="15">
      <c r="A6" s="18" t="s">
        <v>18</v>
      </c>
      <c r="B6" s="19">
        <f t="shared" ref="B6:N6" si="2">B2+B5</f>
        <v>4540338005</v>
      </c>
      <c r="C6" s="19">
        <f t="shared" si="2"/>
        <v>4580676010</v>
      </c>
      <c r="D6" s="19">
        <f t="shared" si="2"/>
        <v>4621014015</v>
      </c>
      <c r="E6" s="19">
        <f t="shared" si="2"/>
        <v>4661352020</v>
      </c>
      <c r="F6" s="19">
        <f t="shared" si="2"/>
        <v>4701690025</v>
      </c>
      <c r="G6" s="19">
        <f t="shared" si="2"/>
        <v>4742028030</v>
      </c>
      <c r="H6" s="19">
        <f t="shared" si="2"/>
        <v>4782366035</v>
      </c>
      <c r="I6" s="19">
        <f t="shared" si="2"/>
        <v>4822704040</v>
      </c>
      <c r="J6" s="19">
        <f t="shared" si="2"/>
        <v>4863042045</v>
      </c>
      <c r="K6" s="19">
        <f t="shared" si="2"/>
        <v>4903380050</v>
      </c>
      <c r="L6" s="19">
        <f t="shared" si="2"/>
        <v>4943718055</v>
      </c>
      <c r="M6" s="19">
        <f t="shared" si="2"/>
        <v>4984056060</v>
      </c>
      <c r="N6" s="19">
        <f t="shared" si="2"/>
        <v>5024394065</v>
      </c>
    </row>
    <row r="7" spans="1:14" ht="15">
      <c r="A7" s="11" t="s">
        <v>61</v>
      </c>
      <c r="B7" s="12">
        <v>6000000000</v>
      </c>
      <c r="C7" s="12">
        <v>6000000000</v>
      </c>
      <c r="D7" s="12">
        <v>6000000000</v>
      </c>
      <c r="E7" s="12">
        <v>6000000000</v>
      </c>
      <c r="F7" s="12">
        <v>6000000000</v>
      </c>
      <c r="G7" s="12">
        <v>6000000000</v>
      </c>
      <c r="H7" s="12">
        <v>6000000000</v>
      </c>
      <c r="I7" s="12">
        <v>6000000000</v>
      </c>
      <c r="J7" s="12">
        <v>6000000000</v>
      </c>
      <c r="K7" s="12">
        <v>6000000000</v>
      </c>
      <c r="L7" s="12">
        <v>6000000000</v>
      </c>
      <c r="M7" s="12">
        <v>6000000000</v>
      </c>
      <c r="N7" s="12">
        <v>6000000000</v>
      </c>
    </row>
    <row r="8" spans="1:14" ht="15">
      <c r="A8" s="11" t="s">
        <v>62</v>
      </c>
      <c r="B8" s="12">
        <v>0</v>
      </c>
      <c r="C8" s="12">
        <v>0</v>
      </c>
      <c r="D8" s="12">
        <v>0</v>
      </c>
      <c r="E8" s="12">
        <v>0</v>
      </c>
      <c r="F8" s="12">
        <v>0</v>
      </c>
      <c r="G8" s="12">
        <v>0</v>
      </c>
      <c r="H8" s="12">
        <v>0</v>
      </c>
      <c r="I8" s="12">
        <v>0</v>
      </c>
      <c r="J8" s="12">
        <v>0</v>
      </c>
      <c r="K8" s="12">
        <v>0</v>
      </c>
      <c r="L8" s="12">
        <v>0</v>
      </c>
      <c r="M8" s="12">
        <v>0</v>
      </c>
      <c r="N8" s="12">
        <v>0</v>
      </c>
    </row>
    <row r="9" spans="1:14" ht="15">
      <c r="A9" s="25" t="s">
        <v>63</v>
      </c>
      <c r="B9" s="26">
        <f>B6+B7+B8</f>
        <v>10540338005</v>
      </c>
      <c r="C9" s="26">
        <f t="shared" ref="C9:N9" si="3">C6+C7+C8</f>
        <v>10580676010</v>
      </c>
      <c r="D9" s="26">
        <f t="shared" si="3"/>
        <v>10621014015</v>
      </c>
      <c r="E9" s="26">
        <f t="shared" si="3"/>
        <v>10661352020</v>
      </c>
      <c r="F9" s="26">
        <f t="shared" si="3"/>
        <v>10701690025</v>
      </c>
      <c r="G9" s="26">
        <f t="shared" si="3"/>
        <v>10742028030</v>
      </c>
      <c r="H9" s="26">
        <f t="shared" si="3"/>
        <v>10782366035</v>
      </c>
      <c r="I9" s="26">
        <f t="shared" si="3"/>
        <v>10822704040</v>
      </c>
      <c r="J9" s="26">
        <f t="shared" si="3"/>
        <v>10863042045</v>
      </c>
      <c r="K9" s="26">
        <f t="shared" si="3"/>
        <v>10903380050</v>
      </c>
      <c r="L9" s="26">
        <f t="shared" si="3"/>
        <v>10943718055</v>
      </c>
      <c r="M9" s="26">
        <f t="shared" si="3"/>
        <v>10984056060</v>
      </c>
      <c r="N9" s="26">
        <f t="shared" si="3"/>
        <v>11024394065</v>
      </c>
    </row>
    <row r="11" spans="1:14" ht="19.2">
      <c r="A11" s="4" t="s">
        <v>19</v>
      </c>
      <c r="B11" s="5" t="s">
        <v>1</v>
      </c>
      <c r="C11" s="5" t="s">
        <v>2</v>
      </c>
      <c r="D11" s="5" t="s">
        <v>3</v>
      </c>
      <c r="E11" s="5" t="s">
        <v>4</v>
      </c>
      <c r="F11" s="5" t="s">
        <v>5</v>
      </c>
      <c r="G11" s="5" t="s">
        <v>6</v>
      </c>
      <c r="H11" s="5" t="s">
        <v>7</v>
      </c>
      <c r="I11" s="5" t="s">
        <v>8</v>
      </c>
      <c r="J11" s="5" t="s">
        <v>9</v>
      </c>
      <c r="K11" s="5" t="s">
        <v>10</v>
      </c>
      <c r="L11" s="5" t="s">
        <v>11</v>
      </c>
      <c r="M11" s="5" t="s">
        <v>12</v>
      </c>
      <c r="N11" s="5" t="s">
        <v>13</v>
      </c>
    </row>
    <row r="12" spans="1:14" ht="15">
      <c r="A12" s="2" t="s">
        <v>14</v>
      </c>
      <c r="B12" s="3">
        <v>6500000000</v>
      </c>
      <c r="C12" s="3">
        <f t="shared" ref="C12:N12" si="4">B16</f>
        <v>6531788510</v>
      </c>
      <c r="D12" s="3">
        <f t="shared" si="4"/>
        <v>6563577020</v>
      </c>
      <c r="E12" s="3">
        <f t="shared" si="4"/>
        <v>6595365530</v>
      </c>
      <c r="F12" s="3">
        <f t="shared" si="4"/>
        <v>6627154040</v>
      </c>
      <c r="G12" s="3">
        <f t="shared" si="4"/>
        <v>6658942550</v>
      </c>
      <c r="H12" s="3">
        <f t="shared" si="4"/>
        <v>6690731060</v>
      </c>
      <c r="I12" s="3">
        <f t="shared" si="4"/>
        <v>6722519570</v>
      </c>
      <c r="J12" s="3">
        <f t="shared" si="4"/>
        <v>6754308080</v>
      </c>
      <c r="K12" s="3">
        <f t="shared" si="4"/>
        <v>6786096590</v>
      </c>
      <c r="L12" s="3">
        <f t="shared" si="4"/>
        <v>6817885100</v>
      </c>
      <c r="M12" s="3">
        <f t="shared" si="4"/>
        <v>6849673610</v>
      </c>
      <c r="N12" s="3">
        <f t="shared" si="4"/>
        <v>6881462120</v>
      </c>
    </row>
    <row r="13" spans="1:14" ht="15">
      <c r="A13" s="2" t="s">
        <v>20</v>
      </c>
      <c r="B13" s="3">
        <v>441788510</v>
      </c>
      <c r="C13" s="3">
        <v>441788510</v>
      </c>
      <c r="D13" s="3">
        <v>441788510</v>
      </c>
      <c r="E13" s="3">
        <v>441788510</v>
      </c>
      <c r="F13" s="3">
        <v>441788510</v>
      </c>
      <c r="G13" s="3">
        <v>441788510</v>
      </c>
      <c r="H13" s="3">
        <v>441788510</v>
      </c>
      <c r="I13" s="3">
        <v>441788510</v>
      </c>
      <c r="J13" s="3">
        <v>441788510</v>
      </c>
      <c r="K13" s="3">
        <v>441788510</v>
      </c>
      <c r="L13" s="3">
        <v>441788510</v>
      </c>
      <c r="M13" s="3">
        <v>441788510</v>
      </c>
      <c r="N13" s="3">
        <v>441788510</v>
      </c>
    </row>
    <row r="14" spans="1:14" ht="15">
      <c r="A14" s="20" t="s">
        <v>16</v>
      </c>
      <c r="B14" s="21">
        <v>-410000000</v>
      </c>
      <c r="C14" s="21">
        <v>-410000000</v>
      </c>
      <c r="D14" s="21">
        <v>-410000000</v>
      </c>
      <c r="E14" s="21">
        <v>-410000000</v>
      </c>
      <c r="F14" s="21">
        <v>-410000000</v>
      </c>
      <c r="G14" s="21">
        <v>-410000000</v>
      </c>
      <c r="H14" s="21">
        <v>-410000000</v>
      </c>
      <c r="I14" s="21">
        <v>-410000000</v>
      </c>
      <c r="J14" s="21">
        <v>-410000000</v>
      </c>
      <c r="K14" s="21">
        <v>-410000000</v>
      </c>
      <c r="L14" s="21">
        <v>-410000000</v>
      </c>
      <c r="M14" s="21">
        <v>-410000000</v>
      </c>
      <c r="N14" s="21">
        <v>-410000000</v>
      </c>
    </row>
    <row r="15" spans="1:14" ht="15">
      <c r="A15" s="24" t="s">
        <v>17</v>
      </c>
      <c r="B15" s="23">
        <f t="shared" ref="B15:N15" si="5">SUM(B13:B14)</f>
        <v>31788510</v>
      </c>
      <c r="C15" s="23">
        <f t="shared" si="5"/>
        <v>31788510</v>
      </c>
      <c r="D15" s="23">
        <f t="shared" si="5"/>
        <v>31788510</v>
      </c>
      <c r="E15" s="23">
        <f t="shared" si="5"/>
        <v>31788510</v>
      </c>
      <c r="F15" s="23">
        <f t="shared" si="5"/>
        <v>31788510</v>
      </c>
      <c r="G15" s="23">
        <f t="shared" si="5"/>
        <v>31788510</v>
      </c>
      <c r="H15" s="23">
        <f t="shared" si="5"/>
        <v>31788510</v>
      </c>
      <c r="I15" s="23">
        <f t="shared" si="5"/>
        <v>31788510</v>
      </c>
      <c r="J15" s="23">
        <f t="shared" si="5"/>
        <v>31788510</v>
      </c>
      <c r="K15" s="23">
        <f t="shared" si="5"/>
        <v>31788510</v>
      </c>
      <c r="L15" s="23">
        <f t="shared" si="5"/>
        <v>31788510</v>
      </c>
      <c r="M15" s="23">
        <f t="shared" si="5"/>
        <v>31788510</v>
      </c>
      <c r="N15" s="23">
        <f t="shared" si="5"/>
        <v>31788510</v>
      </c>
    </row>
    <row r="16" spans="1:14" ht="15">
      <c r="A16" s="18" t="s">
        <v>18</v>
      </c>
      <c r="B16" s="19">
        <f t="shared" ref="B16:N16" si="6">B12+B15</f>
        <v>6531788510</v>
      </c>
      <c r="C16" s="19">
        <f t="shared" si="6"/>
        <v>6563577020</v>
      </c>
      <c r="D16" s="19">
        <f t="shared" si="6"/>
        <v>6595365530</v>
      </c>
      <c r="E16" s="19">
        <f t="shared" si="6"/>
        <v>6627154040</v>
      </c>
      <c r="F16" s="19">
        <f t="shared" si="6"/>
        <v>6658942550</v>
      </c>
      <c r="G16" s="19">
        <f t="shared" si="6"/>
        <v>6690731060</v>
      </c>
      <c r="H16" s="19">
        <f t="shared" si="6"/>
        <v>6722519570</v>
      </c>
      <c r="I16" s="19">
        <f t="shared" si="6"/>
        <v>6754308080</v>
      </c>
      <c r="J16" s="19">
        <f t="shared" si="6"/>
        <v>6786096590</v>
      </c>
      <c r="K16" s="19">
        <f t="shared" si="6"/>
        <v>6817885100</v>
      </c>
      <c r="L16" s="19">
        <f t="shared" si="6"/>
        <v>6849673610</v>
      </c>
      <c r="M16" s="19">
        <f t="shared" si="6"/>
        <v>6881462120</v>
      </c>
      <c r="N16" s="19">
        <f t="shared" si="6"/>
        <v>6913250630</v>
      </c>
    </row>
    <row r="17" spans="1:14" ht="15">
      <c r="A17" s="11" t="s">
        <v>61</v>
      </c>
      <c r="B17" s="12">
        <v>12900000000</v>
      </c>
      <c r="C17" s="12">
        <v>12900000000</v>
      </c>
      <c r="D17" s="12">
        <v>12900000000</v>
      </c>
      <c r="E17" s="12">
        <v>12900000000</v>
      </c>
      <c r="F17" s="12">
        <v>12900000000</v>
      </c>
      <c r="G17" s="12">
        <v>12900000000</v>
      </c>
      <c r="H17" s="12">
        <v>12900000000</v>
      </c>
      <c r="I17" s="12">
        <v>12900000000</v>
      </c>
      <c r="J17" s="12">
        <v>12900000000</v>
      </c>
      <c r="K17" s="12">
        <v>12900000000</v>
      </c>
      <c r="L17" s="12">
        <v>12900000000</v>
      </c>
      <c r="M17" s="12">
        <v>12900000000</v>
      </c>
      <c r="N17" s="12">
        <v>12900000000</v>
      </c>
    </row>
    <row r="18" spans="1:14" ht="15">
      <c r="A18" s="11" t="s">
        <v>60</v>
      </c>
      <c r="B18" s="12">
        <v>28200000000</v>
      </c>
      <c r="C18" s="12">
        <v>28200000000</v>
      </c>
      <c r="D18" s="12">
        <v>28200000000</v>
      </c>
      <c r="E18" s="12">
        <v>28200000000</v>
      </c>
      <c r="F18" s="12">
        <v>28200000000</v>
      </c>
      <c r="G18" s="12">
        <v>28200000000</v>
      </c>
      <c r="H18" s="12">
        <v>28200000000</v>
      </c>
      <c r="I18" s="12">
        <v>28200000000</v>
      </c>
      <c r="J18" s="12">
        <v>28200000000</v>
      </c>
      <c r="K18" s="12">
        <v>28200000000</v>
      </c>
      <c r="L18" s="12">
        <v>28200000000</v>
      </c>
      <c r="M18" s="12">
        <v>28200000000</v>
      </c>
      <c r="N18" s="12">
        <v>28200000000</v>
      </c>
    </row>
    <row r="19" spans="1:14" ht="15">
      <c r="A19" s="25" t="s">
        <v>64</v>
      </c>
      <c r="B19" s="26">
        <f>B16+B17+B18</f>
        <v>47631788510</v>
      </c>
      <c r="C19" s="26">
        <f t="shared" ref="C19:N19" si="7">C16+C17+C18</f>
        <v>47663577020</v>
      </c>
      <c r="D19" s="26">
        <f t="shared" si="7"/>
        <v>47695365530</v>
      </c>
      <c r="E19" s="26">
        <f t="shared" si="7"/>
        <v>47727154040</v>
      </c>
      <c r="F19" s="26">
        <f t="shared" si="7"/>
        <v>47758942550</v>
      </c>
      <c r="G19" s="26">
        <f t="shared" si="7"/>
        <v>47790731060</v>
      </c>
      <c r="H19" s="26">
        <f t="shared" si="7"/>
        <v>47822519570</v>
      </c>
      <c r="I19" s="26">
        <f t="shared" si="7"/>
        <v>47854308080</v>
      </c>
      <c r="J19" s="26">
        <f t="shared" si="7"/>
        <v>47886096590</v>
      </c>
      <c r="K19" s="26">
        <f t="shared" si="7"/>
        <v>47917885100</v>
      </c>
      <c r="L19" s="26">
        <f t="shared" si="7"/>
        <v>47949673610</v>
      </c>
      <c r="M19" s="26">
        <f t="shared" si="7"/>
        <v>47981462120</v>
      </c>
      <c r="N19" s="26">
        <f t="shared" si="7"/>
        <v>48013250630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9"/>
  <sheetViews>
    <sheetView showGridLines="0" tabSelected="1" workbookViewId="0">
      <selection activeCell="A22" sqref="A22"/>
    </sheetView>
  </sheetViews>
  <sheetFormatPr defaultRowHeight="14.4"/>
  <cols>
    <col min="1" max="1" width="35" customWidth="1"/>
    <col min="2" max="14" width="16" customWidth="1"/>
  </cols>
  <sheetData>
    <row r="1" spans="1:14" ht="19.2">
      <c r="A1" s="1" t="s">
        <v>0</v>
      </c>
      <c r="B1" s="1" t="s">
        <v>21</v>
      </c>
      <c r="C1" s="1" t="s">
        <v>22</v>
      </c>
      <c r="D1" s="1" t="s">
        <v>23</v>
      </c>
      <c r="E1" s="1" t="s">
        <v>24</v>
      </c>
      <c r="F1" s="1" t="s">
        <v>25</v>
      </c>
      <c r="G1" s="1" t="s">
        <v>26</v>
      </c>
      <c r="H1" s="1" t="s">
        <v>27</v>
      </c>
      <c r="I1" s="1" t="s">
        <v>28</v>
      </c>
      <c r="J1" s="1" t="s">
        <v>29</v>
      </c>
      <c r="K1" s="1" t="s">
        <v>30</v>
      </c>
      <c r="L1" s="1" t="s">
        <v>31</v>
      </c>
      <c r="M1" s="1" t="s">
        <v>32</v>
      </c>
      <c r="N1" s="1" t="s">
        <v>33</v>
      </c>
    </row>
    <row r="2" spans="1:14" ht="15">
      <c r="A2" s="2" t="s">
        <v>14</v>
      </c>
      <c r="B2" s="3">
        <f>'Q1 13-Week'!N6</f>
        <v>5024394065</v>
      </c>
      <c r="C2" s="3">
        <f t="shared" ref="C2:N2" si="0">B6</f>
        <v>5064732070</v>
      </c>
      <c r="D2" s="3">
        <f t="shared" si="0"/>
        <v>5105070075</v>
      </c>
      <c r="E2" s="3">
        <f t="shared" si="0"/>
        <v>5145408080</v>
      </c>
      <c r="F2" s="3">
        <f t="shared" si="0"/>
        <v>5185746085</v>
      </c>
      <c r="G2" s="3">
        <f t="shared" si="0"/>
        <v>9226084090</v>
      </c>
      <c r="H2" s="3">
        <f t="shared" si="0"/>
        <v>9266422095</v>
      </c>
      <c r="I2" s="3">
        <f t="shared" si="0"/>
        <v>9306760100</v>
      </c>
      <c r="J2" s="3">
        <f t="shared" si="0"/>
        <v>9347098105</v>
      </c>
      <c r="K2" s="3">
        <f t="shared" si="0"/>
        <v>9387436110</v>
      </c>
      <c r="L2" s="3">
        <f t="shared" si="0"/>
        <v>9427774115</v>
      </c>
      <c r="M2" s="3">
        <f t="shared" si="0"/>
        <v>9468112120</v>
      </c>
      <c r="N2" s="3">
        <f t="shared" si="0"/>
        <v>9508450125</v>
      </c>
    </row>
    <row r="3" spans="1:14" ht="15">
      <c r="A3" s="2" t="s">
        <v>15</v>
      </c>
      <c r="B3" s="3">
        <v>260338005</v>
      </c>
      <c r="C3" s="3">
        <v>260338005</v>
      </c>
      <c r="D3" s="3">
        <v>260338005</v>
      </c>
      <c r="E3" s="3">
        <v>260338005</v>
      </c>
      <c r="F3" s="3">
        <v>4260338005</v>
      </c>
      <c r="G3" s="3">
        <v>260338005</v>
      </c>
      <c r="H3" s="3">
        <v>260338005</v>
      </c>
      <c r="I3" s="3">
        <v>260338005</v>
      </c>
      <c r="J3" s="3">
        <v>260338005</v>
      </c>
      <c r="K3" s="3">
        <v>260338005</v>
      </c>
      <c r="L3" s="3">
        <v>260338005</v>
      </c>
      <c r="M3" s="3">
        <v>260338005</v>
      </c>
      <c r="N3" s="3">
        <v>260338005</v>
      </c>
    </row>
    <row r="4" spans="1:14" ht="15">
      <c r="A4" s="20" t="s">
        <v>16</v>
      </c>
      <c r="B4" s="21">
        <v>-220000000</v>
      </c>
      <c r="C4" s="21">
        <v>-220000000</v>
      </c>
      <c r="D4" s="21">
        <v>-220000000</v>
      </c>
      <c r="E4" s="21">
        <v>-220000000</v>
      </c>
      <c r="F4" s="21">
        <v>-220000000</v>
      </c>
      <c r="G4" s="21">
        <v>-220000000</v>
      </c>
      <c r="H4" s="21">
        <v>-220000000</v>
      </c>
      <c r="I4" s="21">
        <v>-220000000</v>
      </c>
      <c r="J4" s="21">
        <v>-220000000</v>
      </c>
      <c r="K4" s="21">
        <v>-220000000</v>
      </c>
      <c r="L4" s="21">
        <v>-220000000</v>
      </c>
      <c r="M4" s="21">
        <v>-220000000</v>
      </c>
      <c r="N4" s="21">
        <v>-220000000</v>
      </c>
    </row>
    <row r="5" spans="1:14" ht="15">
      <c r="A5" s="22" t="s">
        <v>17</v>
      </c>
      <c r="B5" s="23">
        <f t="shared" ref="B5:N5" si="1">SUM(B3:B4)</f>
        <v>40338005</v>
      </c>
      <c r="C5" s="23">
        <f t="shared" si="1"/>
        <v>40338005</v>
      </c>
      <c r="D5" s="23">
        <f t="shared" si="1"/>
        <v>40338005</v>
      </c>
      <c r="E5" s="23">
        <f t="shared" si="1"/>
        <v>40338005</v>
      </c>
      <c r="F5" s="23">
        <f t="shared" si="1"/>
        <v>4040338005</v>
      </c>
      <c r="G5" s="23">
        <f t="shared" si="1"/>
        <v>40338005</v>
      </c>
      <c r="H5" s="23">
        <f t="shared" si="1"/>
        <v>40338005</v>
      </c>
      <c r="I5" s="23">
        <f t="shared" si="1"/>
        <v>40338005</v>
      </c>
      <c r="J5" s="23">
        <f t="shared" si="1"/>
        <v>40338005</v>
      </c>
      <c r="K5" s="23">
        <f t="shared" si="1"/>
        <v>40338005</v>
      </c>
      <c r="L5" s="23">
        <f t="shared" si="1"/>
        <v>40338005</v>
      </c>
      <c r="M5" s="23">
        <f t="shared" si="1"/>
        <v>40338005</v>
      </c>
      <c r="N5" s="23">
        <f t="shared" si="1"/>
        <v>40338005</v>
      </c>
    </row>
    <row r="6" spans="1:14" ht="15">
      <c r="A6" s="18" t="s">
        <v>18</v>
      </c>
      <c r="B6" s="19">
        <f t="shared" ref="B6:N6" si="2">B2+B5</f>
        <v>5064732070</v>
      </c>
      <c r="C6" s="19">
        <f t="shared" si="2"/>
        <v>5105070075</v>
      </c>
      <c r="D6" s="19">
        <f t="shared" si="2"/>
        <v>5145408080</v>
      </c>
      <c r="E6" s="19">
        <f t="shared" si="2"/>
        <v>5185746085</v>
      </c>
      <c r="F6" s="19">
        <f t="shared" si="2"/>
        <v>9226084090</v>
      </c>
      <c r="G6" s="19">
        <f t="shared" si="2"/>
        <v>9266422095</v>
      </c>
      <c r="H6" s="19">
        <f t="shared" si="2"/>
        <v>9306760100</v>
      </c>
      <c r="I6" s="19">
        <f t="shared" si="2"/>
        <v>9347098105</v>
      </c>
      <c r="J6" s="19">
        <f t="shared" si="2"/>
        <v>9387436110</v>
      </c>
      <c r="K6" s="19">
        <f t="shared" si="2"/>
        <v>9427774115</v>
      </c>
      <c r="L6" s="19">
        <f t="shared" si="2"/>
        <v>9468112120</v>
      </c>
      <c r="M6" s="19">
        <f t="shared" si="2"/>
        <v>9508450125</v>
      </c>
      <c r="N6" s="19">
        <f t="shared" si="2"/>
        <v>9548788130</v>
      </c>
    </row>
    <row r="7" spans="1:14" ht="15">
      <c r="A7" s="11" t="s">
        <v>65</v>
      </c>
      <c r="B7" s="12">
        <v>6000000000</v>
      </c>
      <c r="C7" s="12">
        <v>6000000000</v>
      </c>
      <c r="D7" s="12">
        <v>6000000000</v>
      </c>
      <c r="E7" s="12">
        <v>6000000000</v>
      </c>
      <c r="F7" s="12">
        <v>6000000000</v>
      </c>
      <c r="G7" s="12">
        <v>6000000000</v>
      </c>
      <c r="H7" s="12">
        <v>6000000000</v>
      </c>
      <c r="I7" s="12">
        <v>6000000000</v>
      </c>
      <c r="J7" s="12">
        <v>6000000000</v>
      </c>
      <c r="K7" s="12">
        <v>6000000000</v>
      </c>
      <c r="L7" s="12">
        <v>6000000000</v>
      </c>
      <c r="M7" s="12">
        <v>6000000000</v>
      </c>
      <c r="N7" s="12">
        <v>6000000000</v>
      </c>
    </row>
    <row r="8" spans="1:14" ht="15">
      <c r="A8" s="11" t="s">
        <v>62</v>
      </c>
      <c r="B8" s="12">
        <v>0</v>
      </c>
      <c r="C8" s="12">
        <v>0</v>
      </c>
      <c r="D8" s="12">
        <v>0</v>
      </c>
      <c r="E8" s="12">
        <v>0</v>
      </c>
      <c r="F8" s="12">
        <v>0</v>
      </c>
      <c r="G8" s="12">
        <v>0</v>
      </c>
      <c r="H8" s="12">
        <v>0</v>
      </c>
      <c r="I8" s="12">
        <v>0</v>
      </c>
      <c r="J8" s="12">
        <v>0</v>
      </c>
      <c r="K8" s="12">
        <v>0</v>
      </c>
      <c r="L8" s="12">
        <v>0</v>
      </c>
      <c r="M8" s="12">
        <v>0</v>
      </c>
      <c r="N8" s="12">
        <v>0</v>
      </c>
    </row>
    <row r="9" spans="1:14" ht="15">
      <c r="A9" s="25" t="s">
        <v>64</v>
      </c>
      <c r="B9" s="26">
        <f>B6+B7+B8</f>
        <v>11064732070</v>
      </c>
      <c r="C9" s="26">
        <f t="shared" ref="C9:N9" si="3">C6+C7+C8</f>
        <v>11105070075</v>
      </c>
      <c r="D9" s="26">
        <f t="shared" si="3"/>
        <v>11145408080</v>
      </c>
      <c r="E9" s="26">
        <f t="shared" si="3"/>
        <v>11185746085</v>
      </c>
      <c r="F9" s="26">
        <f t="shared" si="3"/>
        <v>15226084090</v>
      </c>
      <c r="G9" s="26">
        <f t="shared" si="3"/>
        <v>15266422095</v>
      </c>
      <c r="H9" s="26">
        <f t="shared" si="3"/>
        <v>15306760100</v>
      </c>
      <c r="I9" s="26">
        <f t="shared" si="3"/>
        <v>15347098105</v>
      </c>
      <c r="J9" s="26">
        <f t="shared" si="3"/>
        <v>15387436110</v>
      </c>
      <c r="K9" s="26">
        <f t="shared" si="3"/>
        <v>15427774115</v>
      </c>
      <c r="L9" s="26">
        <f t="shared" si="3"/>
        <v>15468112120</v>
      </c>
      <c r="M9" s="26">
        <f t="shared" si="3"/>
        <v>15508450125</v>
      </c>
      <c r="N9" s="26">
        <f t="shared" si="3"/>
        <v>15548788130</v>
      </c>
    </row>
    <row r="11" spans="1:14" ht="19.2">
      <c r="A11" s="4" t="s">
        <v>19</v>
      </c>
      <c r="B11" s="5" t="s">
        <v>21</v>
      </c>
      <c r="C11" s="5" t="s">
        <v>22</v>
      </c>
      <c r="D11" s="5" t="s">
        <v>23</v>
      </c>
      <c r="E11" s="5" t="s">
        <v>24</v>
      </c>
      <c r="F11" s="5" t="s">
        <v>25</v>
      </c>
      <c r="G11" s="5" t="s">
        <v>26</v>
      </c>
      <c r="H11" s="5" t="s">
        <v>27</v>
      </c>
      <c r="I11" s="5" t="s">
        <v>28</v>
      </c>
      <c r="J11" s="5" t="s">
        <v>29</v>
      </c>
      <c r="K11" s="5" t="s">
        <v>30</v>
      </c>
      <c r="L11" s="5" t="s">
        <v>31</v>
      </c>
      <c r="M11" s="5" t="s">
        <v>32</v>
      </c>
      <c r="N11" s="5" t="s">
        <v>33</v>
      </c>
    </row>
    <row r="12" spans="1:14" ht="15">
      <c r="A12" s="2" t="s">
        <v>14</v>
      </c>
      <c r="B12" s="3">
        <f>'Q1 13-Week'!N16</f>
        <v>6913250630</v>
      </c>
      <c r="C12" s="3">
        <f t="shared" ref="C12:N12" si="4">B16</f>
        <v>6945039140</v>
      </c>
      <c r="D12" s="3">
        <f t="shared" si="4"/>
        <v>6976827650</v>
      </c>
      <c r="E12" s="3">
        <f t="shared" si="4"/>
        <v>7008616160</v>
      </c>
      <c r="F12" s="3">
        <f t="shared" si="4"/>
        <v>7040404670</v>
      </c>
      <c r="G12" s="3">
        <f t="shared" si="4"/>
        <v>7072193180</v>
      </c>
      <c r="H12" s="3">
        <f t="shared" si="4"/>
        <v>7103981690</v>
      </c>
      <c r="I12" s="3">
        <f t="shared" si="4"/>
        <v>7135770200</v>
      </c>
      <c r="J12" s="3">
        <f t="shared" si="4"/>
        <v>7167558710</v>
      </c>
      <c r="K12" s="3">
        <f t="shared" si="4"/>
        <v>7199347220</v>
      </c>
      <c r="L12" s="3">
        <f t="shared" si="4"/>
        <v>7231135730</v>
      </c>
      <c r="M12" s="3">
        <f t="shared" si="4"/>
        <v>7262924240</v>
      </c>
      <c r="N12" s="3">
        <f t="shared" si="4"/>
        <v>7294712750</v>
      </c>
    </row>
    <row r="13" spans="1:14" ht="15">
      <c r="A13" s="2" t="s">
        <v>20</v>
      </c>
      <c r="B13" s="3">
        <v>441788510</v>
      </c>
      <c r="C13" s="3">
        <v>441788510</v>
      </c>
      <c r="D13" s="3">
        <v>441788510</v>
      </c>
      <c r="E13" s="3">
        <v>441788510</v>
      </c>
      <c r="F13" s="3">
        <v>441788510</v>
      </c>
      <c r="G13" s="3">
        <v>441788510</v>
      </c>
      <c r="H13" s="3">
        <v>441788510</v>
      </c>
      <c r="I13" s="3">
        <v>441788510</v>
      </c>
      <c r="J13" s="3">
        <v>441788510</v>
      </c>
      <c r="K13" s="3">
        <v>441788510</v>
      </c>
      <c r="L13" s="3">
        <v>441788510</v>
      </c>
      <c r="M13" s="3">
        <v>441788510</v>
      </c>
      <c r="N13" s="3">
        <v>441788510</v>
      </c>
    </row>
    <row r="14" spans="1:14" ht="15">
      <c r="A14" s="20" t="s">
        <v>16</v>
      </c>
      <c r="B14" s="21">
        <v>-410000000</v>
      </c>
      <c r="C14" s="21">
        <v>-410000000</v>
      </c>
      <c r="D14" s="21">
        <v>-410000000</v>
      </c>
      <c r="E14" s="21">
        <v>-410000000</v>
      </c>
      <c r="F14" s="21">
        <v>-410000000</v>
      </c>
      <c r="G14" s="21">
        <v>-410000000</v>
      </c>
      <c r="H14" s="21">
        <v>-410000000</v>
      </c>
      <c r="I14" s="21">
        <v>-410000000</v>
      </c>
      <c r="J14" s="21">
        <v>-410000000</v>
      </c>
      <c r="K14" s="21">
        <v>-410000000</v>
      </c>
      <c r="L14" s="21">
        <v>-410000000</v>
      </c>
      <c r="M14" s="21">
        <v>-410000000</v>
      </c>
      <c r="N14" s="21">
        <v>-410000000</v>
      </c>
    </row>
    <row r="15" spans="1:14" ht="15">
      <c r="A15" s="22" t="s">
        <v>17</v>
      </c>
      <c r="B15" s="23">
        <f t="shared" ref="B15:N15" si="5">SUM(B13:B14)</f>
        <v>31788510</v>
      </c>
      <c r="C15" s="23">
        <f t="shared" si="5"/>
        <v>31788510</v>
      </c>
      <c r="D15" s="23">
        <f t="shared" si="5"/>
        <v>31788510</v>
      </c>
      <c r="E15" s="23">
        <f t="shared" si="5"/>
        <v>31788510</v>
      </c>
      <c r="F15" s="23">
        <f t="shared" si="5"/>
        <v>31788510</v>
      </c>
      <c r="G15" s="23">
        <f t="shared" si="5"/>
        <v>31788510</v>
      </c>
      <c r="H15" s="23">
        <f t="shared" si="5"/>
        <v>31788510</v>
      </c>
      <c r="I15" s="23">
        <f t="shared" si="5"/>
        <v>31788510</v>
      </c>
      <c r="J15" s="23">
        <f t="shared" si="5"/>
        <v>31788510</v>
      </c>
      <c r="K15" s="23">
        <f t="shared" si="5"/>
        <v>31788510</v>
      </c>
      <c r="L15" s="23">
        <f t="shared" si="5"/>
        <v>31788510</v>
      </c>
      <c r="M15" s="23">
        <f t="shared" si="5"/>
        <v>31788510</v>
      </c>
      <c r="N15" s="23">
        <f t="shared" si="5"/>
        <v>31788510</v>
      </c>
    </row>
    <row r="16" spans="1:14" ht="15">
      <c r="A16" s="18" t="s">
        <v>18</v>
      </c>
      <c r="B16" s="19">
        <f t="shared" ref="B16:N16" si="6">B12+B15</f>
        <v>6945039140</v>
      </c>
      <c r="C16" s="19">
        <f t="shared" si="6"/>
        <v>6976827650</v>
      </c>
      <c r="D16" s="19">
        <f t="shared" si="6"/>
        <v>7008616160</v>
      </c>
      <c r="E16" s="19">
        <f t="shared" si="6"/>
        <v>7040404670</v>
      </c>
      <c r="F16" s="19">
        <f t="shared" si="6"/>
        <v>7072193180</v>
      </c>
      <c r="G16" s="19">
        <f t="shared" si="6"/>
        <v>7103981690</v>
      </c>
      <c r="H16" s="19">
        <f t="shared" si="6"/>
        <v>7135770200</v>
      </c>
      <c r="I16" s="19">
        <f t="shared" si="6"/>
        <v>7167558710</v>
      </c>
      <c r="J16" s="19">
        <f t="shared" si="6"/>
        <v>7199347220</v>
      </c>
      <c r="K16" s="19">
        <f t="shared" si="6"/>
        <v>7231135730</v>
      </c>
      <c r="L16" s="19">
        <f t="shared" si="6"/>
        <v>7262924240</v>
      </c>
      <c r="M16" s="19">
        <f t="shared" si="6"/>
        <v>7294712750</v>
      </c>
      <c r="N16" s="19">
        <f t="shared" si="6"/>
        <v>7326501260</v>
      </c>
    </row>
    <row r="17" spans="1:15" ht="15">
      <c r="A17" s="11" t="s">
        <v>65</v>
      </c>
      <c r="B17" s="12">
        <v>12900000000</v>
      </c>
      <c r="C17" s="12">
        <v>12900000000</v>
      </c>
      <c r="D17" s="12">
        <v>12900000000</v>
      </c>
      <c r="E17" s="12">
        <v>12900000000</v>
      </c>
      <c r="F17" s="12">
        <v>12900000000</v>
      </c>
      <c r="G17" s="12">
        <v>12900000000</v>
      </c>
      <c r="H17" s="12">
        <v>12900000000</v>
      </c>
      <c r="I17" s="12">
        <v>12900000000</v>
      </c>
      <c r="J17" s="12">
        <v>12900000000</v>
      </c>
      <c r="K17" s="12">
        <v>12900000000</v>
      </c>
      <c r="L17" s="12">
        <v>12900000000</v>
      </c>
      <c r="M17" s="12">
        <v>12900000000</v>
      </c>
      <c r="N17" s="12">
        <v>12900000000</v>
      </c>
      <c r="O17" s="12"/>
    </row>
    <row r="18" spans="1:15" ht="15">
      <c r="A18" s="11" t="s">
        <v>60</v>
      </c>
      <c r="B18" s="12">
        <v>28200000000</v>
      </c>
      <c r="C18" s="12">
        <v>28200000000</v>
      </c>
      <c r="D18" s="12">
        <v>28200000000</v>
      </c>
      <c r="E18" s="12">
        <v>28200000000</v>
      </c>
      <c r="F18" s="12">
        <v>28200000000</v>
      </c>
      <c r="G18" s="12">
        <v>28200000000</v>
      </c>
      <c r="H18" s="12">
        <v>28200000000</v>
      </c>
      <c r="I18" s="12">
        <v>28200000000</v>
      </c>
      <c r="J18" s="12">
        <v>28200000000</v>
      </c>
      <c r="K18" s="12">
        <v>28200000000</v>
      </c>
      <c r="L18" s="12">
        <v>28200000000</v>
      </c>
      <c r="M18" s="12">
        <v>28200000000</v>
      </c>
      <c r="N18" s="12">
        <v>28200000000</v>
      </c>
    </row>
    <row r="19" spans="1:15" ht="15">
      <c r="A19" s="25" t="s">
        <v>66</v>
      </c>
      <c r="B19" s="26">
        <f>B16+B17+B18</f>
        <v>48045039140</v>
      </c>
      <c r="C19" s="26">
        <f t="shared" ref="C19:N19" si="7">C16+C17+C18</f>
        <v>48076827650</v>
      </c>
      <c r="D19" s="26">
        <f t="shared" si="7"/>
        <v>48108616160</v>
      </c>
      <c r="E19" s="26">
        <f t="shared" si="7"/>
        <v>48140404670</v>
      </c>
      <c r="F19" s="26">
        <f t="shared" si="7"/>
        <v>48172193180</v>
      </c>
      <c r="G19" s="26">
        <f t="shared" si="7"/>
        <v>48203981690</v>
      </c>
      <c r="H19" s="26">
        <f t="shared" si="7"/>
        <v>48235770200</v>
      </c>
      <c r="I19" s="26">
        <f t="shared" si="7"/>
        <v>48267558710</v>
      </c>
      <c r="J19" s="26">
        <f t="shared" si="7"/>
        <v>48299347220</v>
      </c>
      <c r="K19" s="26">
        <f t="shared" si="7"/>
        <v>48331135730</v>
      </c>
      <c r="L19" s="26">
        <f t="shared" si="7"/>
        <v>48362924240</v>
      </c>
      <c r="M19" s="26">
        <f t="shared" si="7"/>
        <v>48394712750</v>
      </c>
      <c r="N19" s="26">
        <f t="shared" si="7"/>
        <v>48426501260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0E08-0773-485F-9282-7BDB8F969A3F}">
  <dimension ref="A1:N39"/>
  <sheetViews>
    <sheetView showGridLines="0" workbookViewId="0">
      <selection activeCell="F23" sqref="F23"/>
    </sheetView>
  </sheetViews>
  <sheetFormatPr defaultRowHeight="14.4"/>
  <cols>
    <col min="1" max="1" width="38.6640625" bestFit="1" customWidth="1"/>
    <col min="2" max="14" width="16" customWidth="1"/>
  </cols>
  <sheetData>
    <row r="1" spans="1:14" ht="19.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
      <c r="A2" s="2" t="s">
        <v>14</v>
      </c>
      <c r="B2" s="3">
        <v>4500000000</v>
      </c>
      <c r="C2" s="3">
        <f t="shared" ref="C2:N2" si="0">B7</f>
        <v>4540338005</v>
      </c>
      <c r="D2" s="3">
        <f t="shared" si="0"/>
        <v>4580676010</v>
      </c>
      <c r="E2" s="3">
        <f t="shared" si="0"/>
        <v>4621014015</v>
      </c>
      <c r="F2" s="3">
        <f t="shared" si="0"/>
        <v>4739453421.5</v>
      </c>
      <c r="G2" s="3">
        <f t="shared" si="0"/>
        <v>4857892828.5</v>
      </c>
      <c r="H2" s="3">
        <f t="shared" si="0"/>
        <v>4976332235.5</v>
      </c>
      <c r="I2" s="3">
        <f t="shared" si="0"/>
        <v>5094771642.5</v>
      </c>
      <c r="J2" s="3">
        <f t="shared" si="0"/>
        <v>5213211049.5</v>
      </c>
      <c r="K2" s="3">
        <f t="shared" si="0"/>
        <v>5331650456.5</v>
      </c>
      <c r="L2" s="3">
        <f t="shared" si="0"/>
        <v>5450089863.5</v>
      </c>
      <c r="M2" s="3">
        <f t="shared" si="0"/>
        <v>5568529270.5</v>
      </c>
      <c r="N2" s="3">
        <f t="shared" si="0"/>
        <v>5686968677.5</v>
      </c>
    </row>
    <row r="3" spans="1:14" ht="15">
      <c r="A3" s="2" t="s">
        <v>15</v>
      </c>
      <c r="B3" s="3">
        <v>260338005</v>
      </c>
      <c r="C3" s="3">
        <v>260338005</v>
      </c>
      <c r="D3" s="3">
        <v>260338005</v>
      </c>
      <c r="E3" s="3">
        <f>D3*130%</f>
        <v>338439406.5</v>
      </c>
      <c r="F3" s="3">
        <v>338439407</v>
      </c>
      <c r="G3" s="3">
        <v>338439407</v>
      </c>
      <c r="H3" s="3">
        <v>338439407</v>
      </c>
      <c r="I3" s="3">
        <v>338439407</v>
      </c>
      <c r="J3" s="3">
        <v>338439407</v>
      </c>
      <c r="K3" s="3">
        <v>338439407</v>
      </c>
      <c r="L3" s="3">
        <v>338439407</v>
      </c>
      <c r="M3" s="3">
        <v>338439407</v>
      </c>
      <c r="N3" s="3">
        <v>338439407</v>
      </c>
    </row>
    <row r="4" spans="1:14" ht="15">
      <c r="A4" s="2" t="s">
        <v>16</v>
      </c>
      <c r="B4" s="3">
        <v>-220000000</v>
      </c>
      <c r="C4" s="3">
        <v>-220000000</v>
      </c>
      <c r="D4" s="3">
        <v>-220000000</v>
      </c>
      <c r="E4" s="3">
        <v>-220000000</v>
      </c>
      <c r="F4" s="3">
        <v>-220000000</v>
      </c>
      <c r="G4" s="3">
        <v>-220000000</v>
      </c>
      <c r="H4" s="3">
        <v>-220000000</v>
      </c>
      <c r="I4" s="3">
        <v>-220000000</v>
      </c>
      <c r="J4" s="3">
        <v>-220000000</v>
      </c>
      <c r="K4" s="3">
        <v>-220000000</v>
      </c>
      <c r="L4" s="3">
        <v>-220000000</v>
      </c>
      <c r="M4" s="3">
        <v>-220000000</v>
      </c>
      <c r="N4" s="3">
        <v>-220000000</v>
      </c>
    </row>
    <row r="5" spans="1:14" ht="15">
      <c r="A5" s="20" t="s">
        <v>67</v>
      </c>
      <c r="B5" s="21">
        <v>0</v>
      </c>
      <c r="C5" s="21">
        <v>0</v>
      </c>
      <c r="D5" s="21">
        <v>0</v>
      </c>
      <c r="E5" s="21">
        <v>0</v>
      </c>
      <c r="F5" s="21">
        <v>0</v>
      </c>
      <c r="G5" s="21">
        <v>0</v>
      </c>
      <c r="H5" s="21">
        <v>0</v>
      </c>
      <c r="I5" s="21">
        <v>0</v>
      </c>
      <c r="J5" s="21">
        <v>0</v>
      </c>
      <c r="K5" s="21">
        <v>0</v>
      </c>
      <c r="L5" s="21">
        <v>0</v>
      </c>
      <c r="M5" s="21">
        <v>0</v>
      </c>
      <c r="N5" s="21">
        <v>0</v>
      </c>
    </row>
    <row r="6" spans="1:14" ht="15">
      <c r="A6" s="22" t="s">
        <v>17</v>
      </c>
      <c r="B6" s="23">
        <f>SUM(B3:B4)</f>
        <v>40338005</v>
      </c>
      <c r="C6" s="23">
        <f>SUM(C3:C4)</f>
        <v>40338005</v>
      </c>
      <c r="D6" s="23">
        <f>SUM(D3:D4)</f>
        <v>40338005</v>
      </c>
      <c r="E6" s="23">
        <f>E3+E4</f>
        <v>118439406.5</v>
      </c>
      <c r="F6" s="23">
        <f t="shared" ref="F6:N6" si="1">SUM(F3:F4)</f>
        <v>118439407</v>
      </c>
      <c r="G6" s="23">
        <f t="shared" si="1"/>
        <v>118439407</v>
      </c>
      <c r="H6" s="23">
        <f t="shared" si="1"/>
        <v>118439407</v>
      </c>
      <c r="I6" s="23">
        <f t="shared" si="1"/>
        <v>118439407</v>
      </c>
      <c r="J6" s="23">
        <f t="shared" si="1"/>
        <v>118439407</v>
      </c>
      <c r="K6" s="23">
        <f t="shared" si="1"/>
        <v>118439407</v>
      </c>
      <c r="L6" s="23">
        <f t="shared" si="1"/>
        <v>118439407</v>
      </c>
      <c r="M6" s="23">
        <f t="shared" si="1"/>
        <v>118439407</v>
      </c>
      <c r="N6" s="23">
        <f t="shared" si="1"/>
        <v>118439407</v>
      </c>
    </row>
    <row r="7" spans="1:14" ht="15">
      <c r="A7" s="18" t="s">
        <v>18</v>
      </c>
      <c r="B7" s="19">
        <f t="shared" ref="B7:N7" si="2">B2+B6</f>
        <v>4540338005</v>
      </c>
      <c r="C7" s="19">
        <f t="shared" si="2"/>
        <v>4580676010</v>
      </c>
      <c r="D7" s="19">
        <f t="shared" si="2"/>
        <v>4621014015</v>
      </c>
      <c r="E7" s="19">
        <f t="shared" si="2"/>
        <v>4739453421.5</v>
      </c>
      <c r="F7" s="19">
        <f t="shared" si="2"/>
        <v>4857892828.5</v>
      </c>
      <c r="G7" s="19">
        <f t="shared" si="2"/>
        <v>4976332235.5</v>
      </c>
      <c r="H7" s="19">
        <f t="shared" si="2"/>
        <v>5094771642.5</v>
      </c>
      <c r="I7" s="19">
        <f t="shared" si="2"/>
        <v>5213211049.5</v>
      </c>
      <c r="J7" s="19">
        <f t="shared" si="2"/>
        <v>5331650456.5</v>
      </c>
      <c r="K7" s="19">
        <f t="shared" si="2"/>
        <v>5450089863.5</v>
      </c>
      <c r="L7" s="19">
        <f t="shared" si="2"/>
        <v>5568529270.5</v>
      </c>
      <c r="M7" s="19">
        <f t="shared" si="2"/>
        <v>5686968677.5</v>
      </c>
      <c r="N7" s="19">
        <f t="shared" si="2"/>
        <v>5805408084.5</v>
      </c>
    </row>
    <row r="8" spans="1:14" ht="15">
      <c r="A8" s="11" t="s">
        <v>61</v>
      </c>
      <c r="B8" s="12">
        <v>3000000000</v>
      </c>
      <c r="C8" s="12">
        <v>3000000000</v>
      </c>
      <c r="D8" s="12">
        <v>3000000000</v>
      </c>
      <c r="E8" s="12">
        <v>3000000000</v>
      </c>
      <c r="F8" s="12">
        <v>3000000000</v>
      </c>
      <c r="G8" s="12">
        <v>3000000000</v>
      </c>
      <c r="H8" s="12">
        <v>3000000000</v>
      </c>
      <c r="I8" s="12">
        <v>3000000000</v>
      </c>
      <c r="J8" s="12">
        <v>3000000000</v>
      </c>
      <c r="K8" s="12">
        <v>3000000000</v>
      </c>
      <c r="L8" s="12">
        <v>3000000000</v>
      </c>
      <c r="M8" s="12">
        <v>3000000000</v>
      </c>
      <c r="N8" s="12">
        <v>3000000000</v>
      </c>
    </row>
    <row r="9" spans="1:14" ht="15">
      <c r="A9" s="11" t="s">
        <v>62</v>
      </c>
      <c r="B9" s="12">
        <v>0</v>
      </c>
      <c r="C9" s="12">
        <v>0</v>
      </c>
      <c r="D9" s="12">
        <v>0</v>
      </c>
      <c r="E9" s="12">
        <v>0</v>
      </c>
      <c r="F9" s="12">
        <v>0</v>
      </c>
      <c r="G9" s="12">
        <v>0</v>
      </c>
      <c r="H9" s="12">
        <v>0</v>
      </c>
      <c r="I9" s="12">
        <v>0</v>
      </c>
      <c r="J9" s="12">
        <v>0</v>
      </c>
      <c r="K9" s="12">
        <v>0</v>
      </c>
      <c r="L9" s="12">
        <v>0</v>
      </c>
      <c r="M9" s="12">
        <v>0</v>
      </c>
      <c r="N9" s="12">
        <v>0</v>
      </c>
    </row>
    <row r="10" spans="1:14" ht="15">
      <c r="A10" s="25" t="s">
        <v>63</v>
      </c>
      <c r="B10" s="26">
        <f>B7+B8+B9</f>
        <v>7540338005</v>
      </c>
      <c r="C10" s="26">
        <f t="shared" ref="C10:N10" si="3">C7+C8+C9</f>
        <v>7580676010</v>
      </c>
      <c r="D10" s="26">
        <f t="shared" si="3"/>
        <v>7621014015</v>
      </c>
      <c r="E10" s="26">
        <f t="shared" si="3"/>
        <v>7739453421.5</v>
      </c>
      <c r="F10" s="26">
        <f t="shared" si="3"/>
        <v>7857892828.5</v>
      </c>
      <c r="G10" s="26">
        <f t="shared" si="3"/>
        <v>7976332235.5</v>
      </c>
      <c r="H10" s="26">
        <f t="shared" si="3"/>
        <v>8094771642.5</v>
      </c>
      <c r="I10" s="26">
        <f t="shared" si="3"/>
        <v>8213211049.5</v>
      </c>
      <c r="J10" s="26">
        <f t="shared" si="3"/>
        <v>8331650456.5</v>
      </c>
      <c r="K10" s="26">
        <f t="shared" si="3"/>
        <v>8450089863.5</v>
      </c>
      <c r="L10" s="26">
        <f t="shared" si="3"/>
        <v>8568529270.5</v>
      </c>
      <c r="M10" s="26">
        <f t="shared" si="3"/>
        <v>8686968677.5</v>
      </c>
      <c r="N10" s="26">
        <f t="shared" si="3"/>
        <v>8805408084.5</v>
      </c>
    </row>
    <row r="12" spans="1:14" ht="19.2">
      <c r="A12" s="4" t="s">
        <v>19</v>
      </c>
      <c r="B12" s="5" t="s">
        <v>1</v>
      </c>
      <c r="C12" s="5" t="s">
        <v>2</v>
      </c>
      <c r="D12" s="5" t="s">
        <v>3</v>
      </c>
      <c r="E12" s="5" t="s">
        <v>4</v>
      </c>
      <c r="F12" s="5" t="s">
        <v>5</v>
      </c>
      <c r="G12" s="5" t="s">
        <v>6</v>
      </c>
      <c r="H12" s="5" t="s">
        <v>7</v>
      </c>
      <c r="I12" s="5" t="s">
        <v>8</v>
      </c>
      <c r="J12" s="5" t="s">
        <v>9</v>
      </c>
      <c r="K12" s="5" t="s">
        <v>10</v>
      </c>
      <c r="L12" s="5" t="s">
        <v>11</v>
      </c>
      <c r="M12" s="5" t="s">
        <v>12</v>
      </c>
      <c r="N12" s="5" t="s">
        <v>13</v>
      </c>
    </row>
    <row r="13" spans="1:14" ht="15">
      <c r="A13" s="2" t="s">
        <v>14</v>
      </c>
      <c r="B13" s="3">
        <v>6500000000</v>
      </c>
      <c r="C13" s="3">
        <f t="shared" ref="C13:N13" si="4">B18</f>
        <v>6531788510</v>
      </c>
      <c r="D13" s="3">
        <f t="shared" si="4"/>
        <v>6563577020</v>
      </c>
      <c r="E13" s="3">
        <f t="shared" si="4"/>
        <v>6595365530</v>
      </c>
      <c r="F13" s="3">
        <f t="shared" si="4"/>
        <v>3759690593</v>
      </c>
      <c r="G13" s="3">
        <f t="shared" si="4"/>
        <v>3924015656</v>
      </c>
      <c r="H13" s="3">
        <f t="shared" si="4"/>
        <v>4088340719</v>
      </c>
      <c r="I13" s="3">
        <f t="shared" si="4"/>
        <v>4252665782</v>
      </c>
      <c r="J13" s="3">
        <f t="shared" si="4"/>
        <v>4416990845</v>
      </c>
      <c r="K13" s="3">
        <f t="shared" si="4"/>
        <v>4581315908</v>
      </c>
      <c r="L13" s="3">
        <f t="shared" si="4"/>
        <v>4745640971</v>
      </c>
      <c r="M13" s="3">
        <f t="shared" si="4"/>
        <v>4909966034</v>
      </c>
      <c r="N13" s="3">
        <f t="shared" si="4"/>
        <v>5074291097</v>
      </c>
    </row>
    <row r="14" spans="1:14" ht="15">
      <c r="A14" s="2" t="s">
        <v>20</v>
      </c>
      <c r="B14" s="3">
        <v>441788510</v>
      </c>
      <c r="C14" s="3">
        <v>441788510</v>
      </c>
      <c r="D14" s="3">
        <v>441788510</v>
      </c>
      <c r="E14" s="3">
        <f>D14*130%</f>
        <v>574325063</v>
      </c>
      <c r="F14" s="3">
        <v>574325063</v>
      </c>
      <c r="G14" s="3">
        <v>574325063</v>
      </c>
      <c r="H14" s="3">
        <v>574325063</v>
      </c>
      <c r="I14" s="3">
        <v>574325063</v>
      </c>
      <c r="J14" s="3">
        <v>574325063</v>
      </c>
      <c r="K14" s="3">
        <v>574325063</v>
      </c>
      <c r="L14" s="3">
        <v>574325063</v>
      </c>
      <c r="M14" s="3">
        <v>574325063</v>
      </c>
      <c r="N14" s="3">
        <v>574325063</v>
      </c>
    </row>
    <row r="15" spans="1:14" ht="15">
      <c r="A15" s="2" t="s">
        <v>16</v>
      </c>
      <c r="B15" s="3">
        <v>-410000000</v>
      </c>
      <c r="C15" s="3">
        <v>-410000000</v>
      </c>
      <c r="D15" s="3">
        <v>-410000000</v>
      </c>
      <c r="E15" s="3">
        <v>-410000000</v>
      </c>
      <c r="F15" s="3">
        <v>-410000000</v>
      </c>
      <c r="G15" s="3">
        <v>-410000000</v>
      </c>
      <c r="H15" s="3">
        <v>-410000000</v>
      </c>
      <c r="I15" s="3">
        <v>-410000000</v>
      </c>
      <c r="J15" s="3">
        <v>-410000000</v>
      </c>
      <c r="K15" s="3">
        <v>-410000000</v>
      </c>
      <c r="L15" s="3">
        <v>-410000000</v>
      </c>
      <c r="M15" s="3">
        <v>-410000000</v>
      </c>
      <c r="N15" s="3">
        <v>-410000000</v>
      </c>
    </row>
    <row r="16" spans="1:14" ht="15">
      <c r="A16" s="20" t="s">
        <v>67</v>
      </c>
      <c r="B16" s="21">
        <v>0</v>
      </c>
      <c r="C16" s="21">
        <v>0</v>
      </c>
      <c r="D16" s="21">
        <v>0</v>
      </c>
      <c r="E16" s="27">
        <v>-3000000000</v>
      </c>
      <c r="F16" s="21">
        <v>0</v>
      </c>
      <c r="G16" s="21">
        <v>0</v>
      </c>
      <c r="H16" s="21">
        <v>0</v>
      </c>
      <c r="I16" s="21">
        <v>0</v>
      </c>
      <c r="J16" s="21">
        <v>0</v>
      </c>
      <c r="K16" s="21">
        <v>0</v>
      </c>
      <c r="L16" s="21">
        <v>0</v>
      </c>
      <c r="M16" s="21">
        <v>0</v>
      </c>
      <c r="N16" s="21">
        <v>0</v>
      </c>
    </row>
    <row r="17" spans="1:14" ht="15">
      <c r="A17" s="22" t="s">
        <v>17</v>
      </c>
      <c r="B17" s="23">
        <f>SUM(B14:B15)</f>
        <v>31788510</v>
      </c>
      <c r="C17" s="23">
        <f>SUM(C14:C15)</f>
        <v>31788510</v>
      </c>
      <c r="D17" s="23">
        <f>SUM(D14:D15)</f>
        <v>31788510</v>
      </c>
      <c r="E17" s="23">
        <f>E14+E15+E16</f>
        <v>-2835674937</v>
      </c>
      <c r="F17" s="23">
        <f t="shared" ref="F17:N17" si="5">SUM(F14:F15)</f>
        <v>164325063</v>
      </c>
      <c r="G17" s="23">
        <f t="shared" si="5"/>
        <v>164325063</v>
      </c>
      <c r="H17" s="23">
        <f t="shared" si="5"/>
        <v>164325063</v>
      </c>
      <c r="I17" s="23">
        <f t="shared" si="5"/>
        <v>164325063</v>
      </c>
      <c r="J17" s="23">
        <f t="shared" si="5"/>
        <v>164325063</v>
      </c>
      <c r="K17" s="23">
        <f t="shared" si="5"/>
        <v>164325063</v>
      </c>
      <c r="L17" s="23">
        <f t="shared" si="5"/>
        <v>164325063</v>
      </c>
      <c r="M17" s="23">
        <f t="shared" si="5"/>
        <v>164325063</v>
      </c>
      <c r="N17" s="23">
        <f t="shared" si="5"/>
        <v>164325063</v>
      </c>
    </row>
    <row r="18" spans="1:14" ht="15">
      <c r="A18" s="18" t="s">
        <v>18</v>
      </c>
      <c r="B18" s="19">
        <f t="shared" ref="B18:N18" si="6">B13+B17</f>
        <v>6531788510</v>
      </c>
      <c r="C18" s="19">
        <f t="shared" si="6"/>
        <v>6563577020</v>
      </c>
      <c r="D18" s="19">
        <f t="shared" si="6"/>
        <v>6595365530</v>
      </c>
      <c r="E18" s="19">
        <f t="shared" si="6"/>
        <v>3759690593</v>
      </c>
      <c r="F18" s="19">
        <f t="shared" si="6"/>
        <v>3924015656</v>
      </c>
      <c r="G18" s="19">
        <f t="shared" si="6"/>
        <v>4088340719</v>
      </c>
      <c r="H18" s="19">
        <f t="shared" si="6"/>
        <v>4252665782</v>
      </c>
      <c r="I18" s="19">
        <f t="shared" si="6"/>
        <v>4416990845</v>
      </c>
      <c r="J18" s="19">
        <f t="shared" si="6"/>
        <v>4581315908</v>
      </c>
      <c r="K18" s="19">
        <f t="shared" si="6"/>
        <v>4745640971</v>
      </c>
      <c r="L18" s="19">
        <f t="shared" si="6"/>
        <v>4909966034</v>
      </c>
      <c r="M18" s="19">
        <f t="shared" si="6"/>
        <v>5074291097</v>
      </c>
      <c r="N18" s="19">
        <f t="shared" si="6"/>
        <v>5238616160</v>
      </c>
    </row>
    <row r="19" spans="1:14" ht="15">
      <c r="A19" s="11" t="s">
        <v>61</v>
      </c>
      <c r="B19" s="12">
        <v>6450000000</v>
      </c>
      <c r="C19" s="12">
        <v>6450000000</v>
      </c>
      <c r="D19" s="12">
        <v>6450000000</v>
      </c>
      <c r="E19" s="12">
        <v>6450000000</v>
      </c>
      <c r="F19" s="12">
        <v>6450000000</v>
      </c>
      <c r="G19" s="12">
        <v>6450000000</v>
      </c>
      <c r="H19" s="12">
        <v>6450000000</v>
      </c>
      <c r="I19" s="12">
        <v>6450000000</v>
      </c>
      <c r="J19" s="12">
        <v>6450000000</v>
      </c>
      <c r="K19" s="12">
        <v>6450000000</v>
      </c>
      <c r="L19" s="12">
        <v>6450000000</v>
      </c>
      <c r="M19" s="12">
        <v>6450000000</v>
      </c>
      <c r="N19" s="12">
        <v>6450000000</v>
      </c>
    </row>
    <row r="20" spans="1:14" ht="15">
      <c r="A20" s="11" t="s">
        <v>60</v>
      </c>
      <c r="B20" s="12">
        <v>28200000000</v>
      </c>
      <c r="C20" s="12">
        <v>28200000000</v>
      </c>
      <c r="D20" s="12">
        <v>28200000000</v>
      </c>
      <c r="E20" s="12">
        <v>28200000000</v>
      </c>
      <c r="F20" s="12">
        <v>28200000000</v>
      </c>
      <c r="G20" s="12">
        <v>28200000000</v>
      </c>
      <c r="H20" s="12">
        <v>28200000000</v>
      </c>
      <c r="I20" s="12">
        <v>28200000000</v>
      </c>
      <c r="J20" s="12">
        <v>28200000000</v>
      </c>
      <c r="K20" s="12">
        <v>28200000000</v>
      </c>
      <c r="L20" s="12">
        <v>28200000000</v>
      </c>
      <c r="M20" s="12">
        <v>28200000000</v>
      </c>
      <c r="N20" s="12">
        <v>28200000000</v>
      </c>
    </row>
    <row r="21" spans="1:14" ht="15">
      <c r="A21" s="25" t="s">
        <v>64</v>
      </c>
      <c r="B21" s="26">
        <f>B18+B19+B20</f>
        <v>41181788510</v>
      </c>
      <c r="C21" s="26">
        <f t="shared" ref="C21:N21" si="7">C18+C19+C20</f>
        <v>41213577020</v>
      </c>
      <c r="D21" s="26">
        <f t="shared" si="7"/>
        <v>41245365530</v>
      </c>
      <c r="E21" s="26">
        <f t="shared" si="7"/>
        <v>38409690593</v>
      </c>
      <c r="F21" s="26">
        <f t="shared" si="7"/>
        <v>38574015656</v>
      </c>
      <c r="G21" s="26">
        <f t="shared" si="7"/>
        <v>38738340719</v>
      </c>
      <c r="H21" s="26">
        <f t="shared" si="7"/>
        <v>38902665782</v>
      </c>
      <c r="I21" s="26">
        <f t="shared" si="7"/>
        <v>39066990845</v>
      </c>
      <c r="J21" s="26">
        <f t="shared" si="7"/>
        <v>39231315908</v>
      </c>
      <c r="K21" s="26">
        <f t="shared" si="7"/>
        <v>39395640971</v>
      </c>
      <c r="L21" s="26">
        <f t="shared" si="7"/>
        <v>39559966034</v>
      </c>
      <c r="M21" s="26">
        <f t="shared" si="7"/>
        <v>39724291097</v>
      </c>
      <c r="N21" s="26">
        <f t="shared" si="7"/>
        <v>39888616160</v>
      </c>
    </row>
    <row r="23" spans="1:14" ht="18">
      <c r="A23" s="13" t="s">
        <v>68</v>
      </c>
    </row>
    <row r="24" spans="1:14">
      <c r="A24" s="14"/>
    </row>
    <row r="25" spans="1:14">
      <c r="A25" s="15" t="s">
        <v>69</v>
      </c>
    </row>
    <row r="26" spans="1:14">
      <c r="A26" s="16"/>
    </row>
    <row r="27" spans="1:14">
      <c r="A27" s="17" t="s">
        <v>70</v>
      </c>
    </row>
    <row r="28" spans="1:14">
      <c r="A28" s="16"/>
    </row>
    <row r="29" spans="1:14">
      <c r="A29" s="17" t="s">
        <v>71</v>
      </c>
    </row>
    <row r="30" spans="1:14">
      <c r="A30" s="16"/>
    </row>
    <row r="31" spans="1:14">
      <c r="A31" s="17" t="s">
        <v>72</v>
      </c>
    </row>
    <row r="33" spans="1:1">
      <c r="A33" s="10" t="s">
        <v>73</v>
      </c>
    </row>
    <row r="34" spans="1:1">
      <c r="A34" s="14"/>
    </row>
    <row r="35" spans="1:1">
      <c r="A35" s="15" t="s">
        <v>74</v>
      </c>
    </row>
    <row r="36" spans="1:1">
      <c r="A36" s="14"/>
    </row>
    <row r="37" spans="1:1">
      <c r="A37" s="15" t="s">
        <v>75</v>
      </c>
    </row>
    <row r="38" spans="1:1">
      <c r="A38" s="14"/>
    </row>
    <row r="39" spans="1:1">
      <c r="A39" s="15" t="s">
        <v>76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Market analysis</vt:lpstr>
      <vt:lpstr>Q1 13-Week</vt:lpstr>
      <vt:lpstr>Q2 13-Week</vt:lpstr>
      <vt:lpstr>Margin shock stress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Lenglet Frenchy</cp:lastModifiedBy>
  <dcterms:created xsi:type="dcterms:W3CDTF">2026-07-10T18:31:36Z</dcterms:created>
  <dcterms:modified xsi:type="dcterms:W3CDTF">2026-07-14T08:23:12Z</dcterms:modified>
</cp:coreProperties>
</file>